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Sakaeru/Downloads/"/>
    </mc:Choice>
  </mc:AlternateContent>
  <xr:revisionPtr revIDLastSave="0" documentId="13_ncr:1_{BB43C253-51FC-6E43-AE29-310A1F38F22F}" xr6:coauthVersionLast="47" xr6:coauthVersionMax="47" xr10:uidLastSave="{00000000-0000-0000-0000-000000000000}"/>
  <bookViews>
    <workbookView xWindow="0" yWindow="0" windowWidth="38400" windowHeight="21600" activeTab="8" xr2:uid="{00000000-000D-0000-FFFF-FFFF00000000}"/>
  </bookViews>
  <sheets>
    <sheet name="README" sheetId="1" r:id="rId1"/>
    <sheet name="Runs" sheetId="2" r:id="rId2"/>
    <sheet name="Campaign_Control" sheetId="3" r:id="rId3"/>
    <sheet name="Organic_Control" sheetId="4" r:id="rId4"/>
    <sheet name="Organic_Results" sheetId="5" r:id="rId5"/>
    <sheet name="Page_Audit_Log" sheetId="6" r:id="rId6"/>
    <sheet name="Platform_Library" sheetId="7" r:id="rId7"/>
    <sheet name="Niche_Library" sheetId="8" r:id="rId8"/>
    <sheet name="Creative_Style_Library" sheetId="9" r:id="rId9"/>
    <sheet name="Campaign_Direction_Library" sheetId="10" r:id="rId10"/>
    <sheet name="Angle_Family_Library" sheetId="11" r:id="rId11"/>
    <sheet name="Allowed_Values" sheetId="12" r:id="rId12"/>
    <sheet name="AI_Field_Guide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0" i="5" l="1"/>
  <c r="R199" i="5"/>
  <c r="R198" i="5"/>
  <c r="R197" i="5"/>
  <c r="R196" i="5"/>
  <c r="R195" i="5"/>
  <c r="R194" i="5"/>
  <c r="R193" i="5"/>
  <c r="R192" i="5"/>
  <c r="R191" i="5"/>
  <c r="R190" i="5"/>
  <c r="R189" i="5"/>
  <c r="R188" i="5"/>
  <c r="R187" i="5"/>
  <c r="R186" i="5"/>
  <c r="R185" i="5"/>
  <c r="R184" i="5"/>
  <c r="R183" i="5"/>
  <c r="R182" i="5"/>
  <c r="R181" i="5"/>
  <c r="R180" i="5"/>
  <c r="R179" i="5"/>
  <c r="R178" i="5"/>
  <c r="R177" i="5"/>
  <c r="R176" i="5"/>
  <c r="R175" i="5"/>
  <c r="R174" i="5"/>
  <c r="R173" i="5"/>
  <c r="R172" i="5"/>
  <c r="R171" i="5"/>
  <c r="R170" i="5"/>
  <c r="R169" i="5"/>
  <c r="R168" i="5"/>
  <c r="R167" i="5"/>
  <c r="R166" i="5"/>
  <c r="R165" i="5"/>
  <c r="R164" i="5"/>
  <c r="R163" i="5"/>
  <c r="R162" i="5"/>
  <c r="R161" i="5"/>
  <c r="R160" i="5"/>
  <c r="R159" i="5"/>
  <c r="R158" i="5"/>
  <c r="R157" i="5"/>
  <c r="R156" i="5"/>
  <c r="R155" i="5"/>
  <c r="R154" i="5"/>
  <c r="R153" i="5"/>
  <c r="R152" i="5"/>
  <c r="R151" i="5"/>
  <c r="R150" i="5"/>
  <c r="R149" i="5"/>
  <c r="R148" i="5"/>
  <c r="R147" i="5"/>
  <c r="R146" i="5"/>
  <c r="R145" i="5"/>
  <c r="R144" i="5"/>
  <c r="R143" i="5"/>
  <c r="R142" i="5"/>
  <c r="R141" i="5"/>
  <c r="R140" i="5"/>
  <c r="R139" i="5"/>
  <c r="R138" i="5"/>
  <c r="R137" i="5"/>
  <c r="R136" i="5"/>
  <c r="R135" i="5"/>
  <c r="R134" i="5"/>
  <c r="R133" i="5"/>
  <c r="R132" i="5"/>
  <c r="R131" i="5"/>
  <c r="R130" i="5"/>
  <c r="R129" i="5"/>
  <c r="R128" i="5"/>
  <c r="R127" i="5"/>
  <c r="R126" i="5"/>
  <c r="R125" i="5"/>
  <c r="R124" i="5"/>
  <c r="R123" i="5"/>
  <c r="R122" i="5"/>
  <c r="R121" i="5"/>
  <c r="R120" i="5"/>
  <c r="R119" i="5"/>
  <c r="R118" i="5"/>
  <c r="R117" i="5"/>
  <c r="R116" i="5"/>
  <c r="R115" i="5"/>
  <c r="R114" i="5"/>
  <c r="R113" i="5"/>
  <c r="R112" i="5"/>
  <c r="R111" i="5"/>
  <c r="R110" i="5"/>
  <c r="R109" i="5"/>
  <c r="R108" i="5"/>
  <c r="R107" i="5"/>
  <c r="R106" i="5"/>
  <c r="R105" i="5"/>
  <c r="R104" i="5"/>
  <c r="R103" i="5"/>
  <c r="R102" i="5"/>
  <c r="R101" i="5"/>
  <c r="R100" i="5"/>
  <c r="R99" i="5"/>
  <c r="R98" i="5"/>
  <c r="R97" i="5"/>
  <c r="R96" i="5"/>
  <c r="R95" i="5"/>
  <c r="R94" i="5"/>
  <c r="R93" i="5"/>
  <c r="R92" i="5"/>
  <c r="R91" i="5"/>
  <c r="R90" i="5"/>
  <c r="R89" i="5"/>
  <c r="R88" i="5"/>
  <c r="R87" i="5"/>
  <c r="R86" i="5"/>
  <c r="R85" i="5"/>
  <c r="R84" i="5"/>
  <c r="R83" i="5"/>
  <c r="R82" i="5"/>
  <c r="R81" i="5"/>
  <c r="R80" i="5"/>
  <c r="R79" i="5"/>
  <c r="R78" i="5"/>
  <c r="R77" i="5"/>
  <c r="R76" i="5"/>
  <c r="R75" i="5"/>
  <c r="R74" i="5"/>
  <c r="R73" i="5"/>
  <c r="R72" i="5"/>
  <c r="R71" i="5"/>
  <c r="R70" i="5"/>
  <c r="R69" i="5"/>
  <c r="R68" i="5"/>
  <c r="R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4" i="5"/>
  <c r="R3" i="5"/>
  <c r="R2" i="5"/>
</calcChain>
</file>

<file path=xl/sharedStrings.xml><?xml version="1.0" encoding="utf-8"?>
<sst xmlns="http://schemas.openxmlformats.org/spreadsheetml/2006/main" count="609" uniqueCount="456">
  <si>
    <t>Section</t>
  </si>
  <si>
    <t>Notes</t>
  </si>
  <si>
    <t>Owner</t>
  </si>
  <si>
    <t>Source of Truth</t>
  </si>
  <si>
    <t>Action</t>
  </si>
  <si>
    <t>Purpose</t>
  </si>
  <si>
    <t>Clean control panel for Campaign / Organic / Creative decisions only. Brand/Product/Audience long-form data is no longer duplicated in Excel.</t>
  </si>
  <si>
    <t>System</t>
  </si>
  <si>
    <t>Excel Control Panel</t>
  </si>
  <si>
    <t>Use this file to control runs, goals, platforms, niches, and organic generation.</t>
  </si>
  <si>
    <t>Brand/Product/Audience data</t>
  </si>
  <si>
    <t>Read from brand_intake JSON, not from legacy Excel sheets.</t>
  </si>
  <si>
    <t>data/knowledge/.../{run_id}_brand_intake.json</t>
  </si>
  <si>
    <t>Do not recreate Brands / Products / Audiences sheets here.</t>
  </si>
  <si>
    <t>Source zip check</t>
  </si>
  <si>
    <t>Uploaded source zip JSON check: old path data/knowledge/brand_intake/AODAI_01_brand_intake.json = True; new path data/knowledge/brand_context/brand_intake/AODAI_01_brand_intake.json = False. Production control should point to the path that exists in your local source.</t>
  </si>
  <si>
    <t>Uploaded source zip</t>
  </si>
  <si>
    <t>Make sure Runs.brand_intake_file matches your actual local path.</t>
  </si>
  <si>
    <t>AI column color</t>
  </si>
  <si>
    <t>Purple headers are AI-suggested / AI-filled. User normally leaves them blank.</t>
  </si>
  <si>
    <t>AI</t>
  </si>
  <si>
    <t>AI_Field_Guide</t>
  </si>
  <si>
    <t>Do not manually fill unless overriding.</t>
  </si>
  <si>
    <t>User column color</t>
  </si>
  <si>
    <t>Green headers are user-controlled inputs.</t>
  </si>
  <si>
    <t>User</t>
  </si>
  <si>
    <t>Fill/edit these as needed.</t>
  </si>
  <si>
    <t>Reference column color</t>
  </si>
  <si>
    <t>Blue headers are reference IDs or file paths.</t>
  </si>
  <si>
    <t>Reference</t>
  </si>
  <si>
    <t>Libraries / JSON files</t>
  </si>
  <si>
    <t>Use IDs from library sheets or JSON.</t>
  </si>
  <si>
    <t>System column color</t>
  </si>
  <si>
    <t>Gray headers are final/system-resolved fields used by code.</t>
  </si>
  <si>
    <t>Pipeline</t>
  </si>
  <si>
    <t>Generated from user override or AI suggestion.</t>
  </si>
  <si>
    <t>run_id</t>
  </si>
  <si>
    <t>campaign_id</t>
  </si>
  <si>
    <t>status</t>
  </si>
  <si>
    <t>notes</t>
  </si>
  <si>
    <t>stage_to_run</t>
  </si>
  <si>
    <t>brand_intake_file</t>
  </si>
  <si>
    <t>customer_feedback_file</t>
  </si>
  <si>
    <t>AODAI_01</t>
  </si>
  <si>
    <t>CAMP_AODAI_MD_01</t>
  </si>
  <si>
    <t>run</t>
  </si>
  <si>
    <t>Strategy / campaign direction test</t>
  </si>
  <si>
    <t>strategy</t>
  </si>
  <si>
    <t>data/knowledge/brand_context/brand_intake/AODAI_01_brand_intake.json</t>
  </si>
  <si>
    <t>data/input/customer_feedback_raw.txt</t>
  </si>
  <si>
    <t>ORG_AODAI_FB_20260505_01</t>
  </si>
  <si>
    <t>Organic post generation sample</t>
  </si>
  <si>
    <t>organic</t>
  </si>
  <si>
    <t>campaign_type</t>
  </si>
  <si>
    <t>brand_id</t>
  </si>
  <si>
    <t>product_id</t>
  </si>
  <si>
    <t>offer_id</t>
  </si>
  <si>
    <t>campaign_objective</t>
  </si>
  <si>
    <t>campaign_direction</t>
  </si>
  <si>
    <t>primary_audience</t>
  </si>
  <si>
    <t>primary_angle_family</t>
  </si>
  <si>
    <t>secondary_angle_family</t>
  </si>
  <si>
    <t>occasion</t>
  </si>
  <si>
    <t>content_intent</t>
  </si>
  <si>
    <t>must_use_direction</t>
  </si>
  <si>
    <t>do_not_focus</t>
  </si>
  <si>
    <t>primary_channel</t>
  </si>
  <si>
    <t>creative_outputs</t>
  </si>
  <si>
    <t>product</t>
  </si>
  <si>
    <t>AODAI</t>
  </si>
  <si>
    <t>AD-12-coffee</t>
  </si>
  <si>
    <t>OFF_AODAI_35</t>
  </si>
  <si>
    <t>conversion</t>
  </si>
  <si>
    <t>mothers_day_gift</t>
  </si>
  <si>
    <t>sons_and_daughters_buying_mothers_day_gifts</t>
  </si>
  <si>
    <t>gift_utility</t>
  </si>
  <si>
    <t>coffee_strength,daily_routine,convenience</t>
  </si>
  <si>
    <t>mothers_day</t>
  </si>
  <si>
    <t>ads,video,image,organic</t>
  </si>
  <si>
    <t>Position AODAI as a Mother's Day gift that strong-coffee moms will actually use every morning.</t>
  </si>
  <si>
    <t>Do not make this campaign only about caffeine strength. Keep gift usefulness and Mother's Day as the main idea.</t>
  </si>
  <si>
    <t>meta_ads,facebook</t>
  </si>
  <si>
    <t>active</t>
  </si>
  <si>
    <t>Campaign direction only. Product details are read from brand_intake JSON.</t>
  </si>
  <si>
    <t>CAMP_AODAI_STRONG_01</t>
  </si>
  <si>
    <t>strong_coffee_conversion</t>
  </si>
  <si>
    <t>busy_strong_coffee_drinkers</t>
  </si>
  <si>
    <t>coffee_strength</t>
  </si>
  <si>
    <t>convenience,authentic_vietnamese,daily_routine</t>
  </si>
  <si>
    <t>everyday</t>
  </si>
  <si>
    <t>Position AODAI as authentic strong Vietnamese coffee in 30 seconds with no machine needed.</t>
  </si>
  <si>
    <t>Do not frame AODAI as flavored coffee or generic instant coffee.</t>
  </si>
  <si>
    <t>prepare</t>
  </si>
  <si>
    <t>Backup sample for non-gift direction.</t>
  </si>
  <si>
    <t>organic_run_id</t>
  </si>
  <si>
    <t>niche_id</t>
  </si>
  <si>
    <t>platform_id</t>
  </si>
  <si>
    <t>page_url</t>
  </si>
  <si>
    <t>organic_scope</t>
  </si>
  <si>
    <t>growth_goal</t>
  </si>
  <si>
    <t>growth_goal_target</t>
  </si>
  <si>
    <t>growth_goal_deadline</t>
  </si>
  <si>
    <t>page_stage_user_override</t>
  </si>
  <si>
    <t>page_stage_ai_suggested</t>
  </si>
  <si>
    <t>final_page_stage</t>
  </si>
  <si>
    <t>today_content_goal_user_override</t>
  </si>
  <si>
    <t>today_content_goal_ai_suggested</t>
  </si>
  <si>
    <t>final_today_content_goal</t>
  </si>
  <si>
    <t>organic_stage_ai_suggested</t>
  </si>
  <si>
    <t>content_pillars_user</t>
  </si>
  <si>
    <t>content_pillars_ai_suggested</t>
  </si>
  <si>
    <t>final_content_pillars</t>
  </si>
  <si>
    <t>num_posts_requested</t>
  </si>
  <si>
    <t>num_posts_ai_suggested</t>
  </si>
  <si>
    <t>final_num_posts</t>
  </si>
  <si>
    <t>post_format_mix_user</t>
  </si>
  <si>
    <t>post_format_mix_ai_suggested</t>
  </si>
  <si>
    <t>final_post_format_mix</t>
  </si>
  <si>
    <t>product_mention_level</t>
  </si>
  <si>
    <t>tone_user</t>
  </si>
  <si>
    <t>tone_ai_suggested</t>
  </si>
  <si>
    <t>final_tone</t>
  </si>
  <si>
    <t>must_use_topics</t>
  </si>
  <si>
    <t>avoid_topics</t>
  </si>
  <si>
    <t>language</t>
  </si>
  <si>
    <t>vietnamese_coffee</t>
  </si>
  <si>
    <t>facebook</t>
  </si>
  <si>
    <t>brand,niche,audience,campaign</t>
  </si>
  <si>
    <t>Reach 1,000 Facebook page followers with consistent organic content.</t>
  </si>
  <si>
    <t>1000_followers</t>
  </si>
  <si>
    <t>2026-06-30</t>
  </si>
  <si>
    <t>low_content_page</t>
  </si>
  <si>
    <t>fill_content_base</t>
  </si>
  <si>
    <t>foundation</t>
  </si>
  <si>
    <t>gift usefulness,strong coffee moms,Vietnamese coffee culture,morning routine</t>
  </si>
  <si>
    <t>daily-use gift,coffee routine,practical Mother's Day gifts,strong Vietnamese coffee</t>
  </si>
  <si>
    <t>text_post,question_post,soft_story,educational,relatable</t>
  </si>
  <si>
    <t>text_post,question_post,soft_story,educational,relatable,comparison_static</t>
  </si>
  <si>
    <t>soft</t>
  </si>
  <si>
    <t>warm,relatable,slightly witty</t>
  </si>
  <si>
    <t>warm,practical,conversational</t>
  </si>
  <si>
    <t>Mother's Day,strong coffee moms,daily-use gift</t>
  </si>
  <si>
    <t>hard selling,too much caffeine,generic instant coffee</t>
  </si>
  <si>
    <t>en</t>
  </si>
  <si>
    <t>Brand/product details are loaded from Runs.brand_intake_file. Product_id can stay blank for brand/niche organic.</t>
  </si>
  <si>
    <t>post_id</t>
  </si>
  <si>
    <t>published_date</t>
  </si>
  <si>
    <t>post_url</t>
  </si>
  <si>
    <t>content_role</t>
  </si>
  <si>
    <t>content_pillar</t>
  </si>
  <si>
    <t>post_text</t>
  </si>
  <si>
    <t>likes</t>
  </si>
  <si>
    <t>comments</t>
  </si>
  <si>
    <t>shares</t>
  </si>
  <si>
    <t>saves</t>
  </si>
  <si>
    <t>reach</t>
  </si>
  <si>
    <t>clicks</t>
  </si>
  <si>
    <t>follows</t>
  </si>
  <si>
    <t>engagement_rate</t>
  </si>
  <si>
    <t>result_notes_user</t>
  </si>
  <si>
    <t>ai_result_summary</t>
  </si>
  <si>
    <t>ai_learning</t>
  </si>
  <si>
    <t>ai_next_action</t>
  </si>
  <si>
    <t>ORG_001</t>
  </si>
  <si>
    <t>2026-05-05</t>
  </si>
  <si>
    <t>conversation_starter</t>
  </si>
  <si>
    <t>daily-use gift</t>
  </si>
  <si>
    <t>Sample placeholder. Paste the published post text here after posting.</t>
  </si>
  <si>
    <t>Enter actual notes after publishing.</t>
  </si>
  <si>
    <t>AI will summarize result after metrics are entered.</t>
  </si>
  <si>
    <t>AI will extract learning from result.</t>
  </si>
  <si>
    <t>AI will recommend next action.</t>
  </si>
  <si>
    <t>draft</t>
  </si>
  <si>
    <t>audit_id</t>
  </si>
  <si>
    <t>audit_date</t>
  </si>
  <si>
    <t>page_stage_user_observed</t>
  </si>
  <si>
    <t>main_problem_ai</t>
  </si>
  <si>
    <t>content_gap_ai</t>
  </si>
  <si>
    <t>best_signal_ai</t>
  </si>
  <si>
    <t>weak_signal_ai</t>
  </si>
  <si>
    <t>recommended_goal_ai</t>
  </si>
  <si>
    <t>recommended_content_roles_ai</t>
  </si>
  <si>
    <t>recommended_num_posts_ai</t>
  </si>
  <si>
    <t>recommended_tone_ai</t>
  </si>
  <si>
    <t>audit_notes_user</t>
  </si>
  <si>
    <t>AUD_AODAI_FB_20260505_01</t>
  </si>
  <si>
    <t>Page needs more foundation posts before scaling hard-sell content.</t>
  </si>
  <si>
    <t>Not enough relatable coffee routine posts; not enough brand belief posts; not enough gift-context posts.</t>
  </si>
  <si>
    <t>Audience likely responds to practical gift and daily routine ideas.</t>
  </si>
  <si>
    <t>Direct product selling may be too early for a low-content page.</t>
  </si>
  <si>
    <t>conversation_starter,relatable_observation,educational_post,soft_product_mention</t>
  </si>
  <si>
    <t>User can paste manual observations here.</t>
  </si>
  <si>
    <t>platform_name</t>
  </si>
  <si>
    <t>content_type_supported</t>
  </si>
  <si>
    <t>default_tone</t>
  </si>
  <si>
    <t>default_post_formats</t>
  </si>
  <si>
    <t>caption_length_guidance</t>
  </si>
  <si>
    <t>engagement_style</t>
  </si>
  <si>
    <t>Facebook Page</t>
  </si>
  <si>
    <t>text_post,image_post,carousel,reels</t>
  </si>
  <si>
    <t>conversational,community,relatable</t>
  </si>
  <si>
    <t>text_post,question_post,story_post,image_caption</t>
  </si>
  <si>
    <t>medium_to_long</t>
  </si>
  <si>
    <t>comments,shares,discussion</t>
  </si>
  <si>
    <t>Best for community discussion, trust building, story/relatable posts</t>
  </si>
  <si>
    <t>instagram</t>
  </si>
  <si>
    <t>Instagram</t>
  </si>
  <si>
    <t>image_post,carousel,reels,story</t>
  </si>
  <si>
    <t>visual,short,emotional</t>
  </si>
  <si>
    <t>carousel,reels,image_caption</t>
  </si>
  <si>
    <t>short_to_medium</t>
  </si>
  <si>
    <t>saves,shares,comments</t>
  </si>
  <si>
    <t>Best for visual identity, lifestyle, product presentation</t>
  </si>
  <si>
    <t>tiktok</t>
  </si>
  <si>
    <t>TikTok</t>
  </si>
  <si>
    <t>short_video</t>
  </si>
  <si>
    <t>native,fast,hook_first</t>
  </si>
  <si>
    <t>short_video_script</t>
  </si>
  <si>
    <t>short</t>
  </si>
  <si>
    <t>watch_time,comments,shares</t>
  </si>
  <si>
    <t>Best for UGC, hooks, relatable tension, trends</t>
  </si>
  <si>
    <t>threads</t>
  </si>
  <si>
    <t>Threads</t>
  </si>
  <si>
    <t>text_post,conversation</t>
  </si>
  <si>
    <t>casual,opinionated,community</t>
  </si>
  <si>
    <t>text_post,question_post</t>
  </si>
  <si>
    <t>replies,reposts</t>
  </si>
  <si>
    <t>Best for conversation and point-of-view content</t>
  </si>
  <si>
    <t>niche_name</t>
  </si>
  <si>
    <t>parent_niche</t>
  </si>
  <si>
    <t>audience_type</t>
  </si>
  <si>
    <t>core_topics</t>
  </si>
  <si>
    <t>common_pains</t>
  </si>
  <si>
    <t>common_desires</t>
  </si>
  <si>
    <t>content_angles</t>
  </si>
  <si>
    <t>Vietnamese Coffee</t>
  </si>
  <si>
    <t>coffee</t>
  </si>
  <si>
    <t>diaspora,strong coffee drinkers,coffee gift buyers</t>
  </si>
  <si>
    <t>robusta,phin,iced coffee,strong coffee,morning routine</t>
  </si>
  <si>
    <t>weak coffee,expensive cafe coffee,hard brewing,generic instant coffee</t>
  </si>
  <si>
    <t>authentic taste,strong morning energy,coffee at home,meaningful coffee gifts</t>
  </si>
  <si>
    <t>Vietnamese heritage,daily energy,giftable coffee,coffee routine</t>
  </si>
  <si>
    <t>do not over-explain culture in a generic way</t>
  </si>
  <si>
    <t>Sample niche for AODAI / Nonla style coffee brands</t>
  </si>
  <si>
    <t>coffee_gifts</t>
  </si>
  <si>
    <t>Coffee Gifts</t>
  </si>
  <si>
    <t>gifting</t>
  </si>
  <si>
    <t>gift buyers,sons and daughters,partners</t>
  </si>
  <si>
    <t>useful gifts,daily-use gifts,coffee routines,occasion gifts</t>
  </si>
  <si>
    <t>gift anxiety,useless gifts,wrong taste,price uncertainty</t>
  </si>
  <si>
    <t>thoughtful gift,daily use,recipient recognition,low-risk discovery</t>
  </si>
  <si>
    <t>gift utility,personalized taste,small premium gift,occasion-specific coffee</t>
  </si>
  <si>
    <t>do not make gifting feel generic or purely discount-driven</t>
  </si>
  <si>
    <t>Useful for Mother's Day, Father's Day, birthdays, holiday gifts</t>
  </si>
  <si>
    <t>pod_apparel</t>
  </si>
  <si>
    <t>POD Apparel</t>
  </si>
  <si>
    <t>fashion</t>
  </si>
  <si>
    <t>streetwear buyers,fandom buyers,gift buyers</t>
  </si>
  <si>
    <t>graphic tees,jerseys,mesh shirts,identity fashion</t>
  </si>
  <si>
    <t>generic designs,poor fit,low-quality mockups</t>
  </si>
  <si>
    <t>unique identity,collectible design,conversation starter</t>
  </si>
  <si>
    <t>niche identity,visual storytelling,limited drop,community posts</t>
  </si>
  <si>
    <t>avoid trademark/IP infringement</t>
  </si>
  <si>
    <t>Future sample for apparel brands</t>
  </si>
  <si>
    <t>style_id</t>
  </si>
  <si>
    <t>style_name</t>
  </si>
  <si>
    <t>best_for</t>
  </si>
  <si>
    <t>description</t>
  </si>
  <si>
    <t>example_use</t>
  </si>
  <si>
    <t>direct_response</t>
  </si>
  <si>
    <t>Direct Response</t>
  </si>
  <si>
    <t>ads</t>
  </si>
  <si>
    <t>Hook mạnh + pain + offer + CTA</t>
  </si>
  <si>
    <t>Meta conversion ads</t>
  </si>
  <si>
    <t>ugc_testimonial</t>
  </si>
  <si>
    <t>UGC Testimonial</t>
  </si>
  <si>
    <t>ads,video</t>
  </si>
  <si>
    <t>Người dùng review trải nghiệm</t>
  </si>
  <si>
    <t>TikTok / Reels</t>
  </si>
  <si>
    <t>emotional_story</t>
  </si>
  <si>
    <t>Emotional Story</t>
  </si>
  <si>
    <t>ads,organic,video</t>
  </si>
  <si>
    <t>Kể chuyện cảm xúc</t>
  </si>
  <si>
    <t>Mother's Day</t>
  </si>
  <si>
    <t>product_demo</t>
  </si>
  <si>
    <t>Product Demo</t>
  </si>
  <si>
    <t>Trình diễn cách dùng sản phẩm</t>
  </si>
  <si>
    <t>Coffee prep</t>
  </si>
  <si>
    <t>educational</t>
  </si>
  <si>
    <t>Educational</t>
  </si>
  <si>
    <t>organic,video</t>
  </si>
  <si>
    <t>Giải thích insight / kiến thức</t>
  </si>
  <si>
    <t>Build trust</t>
  </si>
  <si>
    <t>meme_relatable</t>
  </si>
  <si>
    <t>Meme Relatable</t>
  </si>
  <si>
    <t>Nội dung vui, relatable</t>
  </si>
  <si>
    <t>Tăng tương tác</t>
  </si>
  <si>
    <t>comparison</t>
  </si>
  <si>
    <t>Comparison</t>
  </si>
  <si>
    <t>ads,image,organic</t>
  </si>
  <si>
    <t>So sánh trước/sau hoặc us vs others</t>
  </si>
  <si>
    <t>Conversion / engagement</t>
  </si>
  <si>
    <t>founder_story</t>
  </si>
  <si>
    <t>Founder Story</t>
  </si>
  <si>
    <t>Câu chuyện người sáng lập</t>
  </si>
  <si>
    <t>Brand building</t>
  </si>
  <si>
    <t>lifestyle</t>
  </si>
  <si>
    <t>Lifestyle</t>
  </si>
  <si>
    <t>ads,organic,image</t>
  </si>
  <si>
    <t>Sản phẩm trong bối cảnh sống</t>
  </si>
  <si>
    <t>Instagram content</t>
  </si>
  <si>
    <t>problem_solution</t>
  </si>
  <si>
    <t>Problem Solution</t>
  </si>
  <si>
    <t>ads,video,organic</t>
  </si>
  <si>
    <t>Nêu vấn đề → giải pháp</t>
  </si>
  <si>
    <t>Direct ads / organic education</t>
  </si>
  <si>
    <t>example_primary_angle_family</t>
  </si>
  <si>
    <t>Mother's Day / gifting angle</t>
  </si>
  <si>
    <t>seasonal conversion</t>
  </si>
  <si>
    <t>Keeps strategy tied to occasion and gift psychology</t>
  </si>
  <si>
    <t>Strong coffee performance angle</t>
  </si>
  <si>
    <t>direct response conversion</t>
  </si>
  <si>
    <t>Use when selling to serious coffee drinkers</t>
  </si>
  <si>
    <t>diaspora_authenticity</t>
  </si>
  <si>
    <t>Vietnamese authenticity / taste of home</t>
  </si>
  <si>
    <t>conversion, brand building</t>
  </si>
  <si>
    <t>authentic_vietnamese</t>
  </si>
  <si>
    <t>Use for Vietnamese diaspora and cultural authenticity</t>
  </si>
  <si>
    <t>daily_energy</t>
  </si>
  <si>
    <t>Daily energy / routine support</t>
  </si>
  <si>
    <t>conversion, organic</t>
  </si>
  <si>
    <t>daily_routine</t>
  </si>
  <si>
    <t>Use for busy workers, parents, routines</t>
  </si>
  <si>
    <t>product_education</t>
  </si>
  <si>
    <t>Explain product and usage</t>
  </si>
  <si>
    <t>warm audience, retargeting</t>
  </si>
  <si>
    <t>convenience</t>
  </si>
  <si>
    <t>Use when product format needs explanation</t>
  </si>
  <si>
    <t>angle_family</t>
  </si>
  <si>
    <t>example_expression</t>
  </si>
  <si>
    <t>Gift that gets used, not stored</t>
  </si>
  <si>
    <t>Not another gift that sits on a shelf. Something she reaches for every morning.</t>
  </si>
  <si>
    <t>seasonal ads, organic foundation</t>
  </si>
  <si>
    <t>Strong coffee for weak-coffee frustration</t>
  </si>
  <si>
    <t>If your morning coffee doesn't wake you up anymore, you're drinking the wrong coffee.</t>
  </si>
  <si>
    <t>conversion ads</t>
  </si>
  <si>
    <t>Strong coffee without machine/time friction</t>
  </si>
  <si>
    <t>Strong Vietnamese coffee in 30 seconds, no machine needed.</t>
  </si>
  <si>
    <t>conversion ads, demos</t>
  </si>
  <si>
    <t>Vietnamese robusta authenticity</t>
  </si>
  <si>
    <t>Real Vietnamese robusta taste without a phin or machine.</t>
  </si>
  <si>
    <t>brand building, diaspora</t>
  </si>
  <si>
    <t>Fits into everyday morning or work routine</t>
  </si>
  <si>
    <t>Make the coffee you actually need before the day starts.</t>
  </si>
  <si>
    <t>organic, ads</t>
  </si>
  <si>
    <t>category</t>
  </si>
  <si>
    <t>allowed_value</t>
  </si>
  <si>
    <t>run_status</t>
  </si>
  <si>
    <t>Not ready to run</t>
  </si>
  <si>
    <t>Ready to execute</t>
  </si>
  <si>
    <t>finish</t>
  </si>
  <si>
    <t>Completed</t>
  </si>
  <si>
    <t>paused</t>
  </si>
  <si>
    <t>Temporarily paused</t>
  </si>
  <si>
    <t>research</t>
  </si>
  <si>
    <t>Run research</t>
  </si>
  <si>
    <t>insight</t>
  </si>
  <si>
    <t>Run insight</t>
  </si>
  <si>
    <t>Run strategy</t>
  </si>
  <si>
    <t>creative</t>
  </si>
  <si>
    <t>Run creative</t>
  </si>
  <si>
    <t>Run organic generation</t>
  </si>
  <si>
    <t>brand</t>
  </si>
  <si>
    <t>Brand-level content</t>
  </si>
  <si>
    <t>niche</t>
  </si>
  <si>
    <t>Niche/category-level content</t>
  </si>
  <si>
    <t>audience</t>
  </si>
  <si>
    <t>Audience insight content</t>
  </si>
  <si>
    <t>Product-level content</t>
  </si>
  <si>
    <t>campaign</t>
  </si>
  <si>
    <t>Campaign-level content</t>
  </si>
  <si>
    <t>page_stage</t>
  </si>
  <si>
    <t>new_page</t>
  </si>
  <si>
    <t>New page</t>
  </si>
  <si>
    <t>Low content base</t>
  </si>
  <si>
    <t>inconsistent_page</t>
  </si>
  <si>
    <t>Posting inconsistent</t>
  </si>
  <si>
    <t>growing_page</t>
  </si>
  <si>
    <t>Growing audience</t>
  </si>
  <si>
    <t>active_page</t>
  </si>
  <si>
    <t>Active page</t>
  </si>
  <si>
    <t>warm_audience_page</t>
  </si>
  <si>
    <t>Audience is warm</t>
  </si>
  <si>
    <t>none</t>
  </si>
  <si>
    <t>No product mention</t>
  </si>
  <si>
    <t>Soft/indirect mention</t>
  </si>
  <si>
    <t>medium</t>
  </si>
  <si>
    <t>Mention product but not hard sell</t>
  </si>
  <si>
    <t>direct</t>
  </si>
  <si>
    <t>Direct product/offer mention</t>
  </si>
  <si>
    <t>sheet_name</t>
  </si>
  <si>
    <t>column_name</t>
  </si>
  <si>
    <t>owner</t>
  </si>
  <si>
    <t>meaning</t>
  </si>
  <si>
    <t>color_code</t>
  </si>
  <si>
    <t>how_to_use</t>
  </si>
  <si>
    <t>All sheets</t>
  </si>
  <si>
    <t>Purple header columns</t>
  </si>
  <si>
    <t>AI should suggest/fill these fields. User normally leaves blank.</t>
  </si>
  <si>
    <t>#E9D5FF</t>
  </si>
  <si>
    <t>Do not manually fill unless intentionally overriding AI.</t>
  </si>
  <si>
    <t>Green header columns</t>
  </si>
  <si>
    <t>User-controlled inputs and constraints.</t>
  </si>
  <si>
    <t>#DCFCE7</t>
  </si>
  <si>
    <t>User can fill/edit.</t>
  </si>
  <si>
    <t>Blue header columns</t>
  </si>
  <si>
    <t>Reference IDs from other sheets or JSON files.</t>
  </si>
  <si>
    <t>#DBEAFE</t>
  </si>
  <si>
    <t>Select from libraries or let pipeline load from source files.</t>
  </si>
  <si>
    <t>Gray header columns</t>
  </si>
  <si>
    <t>System/Final</t>
  </si>
  <si>
    <t>Final or system-resolved fields used by code.</t>
  </si>
  <si>
    <t>#E5E7EB</t>
  </si>
  <si>
    <t>May be auto-derived from user + AI fields.</t>
  </si>
  <si>
    <t>Yellow header columns</t>
  </si>
  <si>
    <t>Library</t>
  </si>
  <si>
    <t>Lookup/library data.</t>
  </si>
  <si>
    <t>#FEF3C7</t>
  </si>
  <si>
    <t>Editable reference data used by pipeline.</t>
  </si>
  <si>
    <t>Deleted legacy sheets</t>
  </si>
  <si>
    <t>Brands / Products / Offers / Audiences*</t>
  </si>
  <si>
    <t>Removed</t>
  </si>
  <si>
    <t>Removed from this clean file to prevent duplicate declarations.</t>
  </si>
  <si>
    <t>Read from brand_intake JSON instead.</t>
  </si>
  <si>
    <t>Runs</t>
  </si>
  <si>
    <t>Exact path to JSON brand intake file used by pipeline.</t>
  </si>
  <si>
    <t>Must match your local source path.</t>
  </si>
  <si>
    <t>Organic_Control</t>
  </si>
  <si>
    <t>Reference/System</t>
  </si>
  <si>
    <t>Visible ID only. Core brand data is read from Runs.brand_intake_file.</t>
  </si>
  <si>
    <t>Can be left as reference/debug field.</t>
  </si>
  <si>
    <t>Optional for organic unless organic_scope includes product. Product data is read from JSON.</t>
  </si>
  <si>
    <t>Leave blank for brand/niche/audience organic.</t>
  </si>
  <si>
    <t>Must reference Platform_Library.platform_id.</t>
  </si>
  <si>
    <t>Use facebook, instagram, tiktok, threads.</t>
  </si>
  <si>
    <t>Must reference Niche_Library.niche_id.</t>
  </si>
  <si>
    <t>Used for multi-brand/multi-niche organic generation.</t>
  </si>
  <si>
    <t>Long-term page development goal. Does not change daily.</t>
  </si>
  <si>
    <t>Example: Reach 1,000 Facebook page followers.</t>
  </si>
  <si>
    <t>*_ai_suggested</t>
  </si>
  <si>
    <t>AI-generated suggestions based on page audit, goal, results, and brand/niche context.</t>
  </si>
  <si>
    <t>Leave blank before AI run.</t>
  </si>
  <si>
    <t>final_*</t>
  </si>
  <si>
    <t>Final resolved value used for generation.</t>
  </si>
  <si>
    <t>Use user override if present; otherwise use AI suggestion.</t>
  </si>
  <si>
    <t>https://web.facebook.com/profile.php?id=61585442436771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</si>
</sst>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1"/>
      <color rgb="FF111827"/>
      <name val="Carlito"/>
    </font>
    <font>
      <b/>
      <sz val="11"/>
      <color rgb="FFFFFFFF"/>
      <name val="Carlito"/>
    </font>
    <font>
      <b/>
      <sz val="11"/>
      <color rgb="FF14532D"/>
      <name val="Carlito"/>
    </font>
    <font>
      <b/>
      <sz val="11"/>
      <color rgb="FF374151"/>
      <name val="Carlito"/>
    </font>
    <font>
      <b/>
      <sz val="11"/>
      <color rgb="FF1E3A8A"/>
      <name val="Carlito"/>
    </font>
    <font>
      <b/>
      <sz val="11"/>
      <color rgb="FF4C1D95"/>
      <name val="Carlito"/>
    </font>
    <font>
      <b/>
      <sz val="11"/>
      <color rgb="FF92400E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FCE7"/>
      </patternFill>
    </fill>
    <fill>
      <patternFill patternType="solid">
        <fgColor rgb="FFE5E7EB"/>
      </patternFill>
    </fill>
    <fill>
      <patternFill patternType="solid">
        <fgColor rgb="FFDBEAFE"/>
      </patternFill>
    </fill>
    <fill>
      <patternFill patternType="solid">
        <fgColor rgb="FFE9D5FF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10" fontId="1" fillId="0" borderId="0" xfId="0" applyNumberFormat="1" applyFont="1" applyAlignment="1">
      <alignment vertical="top" wrapText="1"/>
    </xf>
    <xf numFmtId="10" fontId="0" fillId="0" borderId="0" xfId="0" applyNumberFormat="1"/>
    <xf numFmtId="0" fontId="7" fillId="7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Table" displayName="ReadmeTable" ref="A1:E8">
  <tableColumns count="5">
    <tableColumn id="1" xr3:uid="{00000000-0010-0000-0000-000001000000}" name="Section"/>
    <tableColumn id="2" xr3:uid="{00000000-0010-0000-0000-000002000000}" name="Notes"/>
    <tableColumn id="3" xr3:uid="{00000000-0010-0000-0000-000003000000}" name="Owner"/>
    <tableColumn id="4" xr3:uid="{00000000-0010-0000-0000-000004000000}" name="Source of Truth"/>
    <tableColumn id="5" xr3:uid="{00000000-0010-0000-0000-000005000000}" name="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unsTable" displayName="RunsTable" ref="A1:G3">
  <tableColumns count="7">
    <tableColumn id="1" xr3:uid="{00000000-0010-0000-0100-000001000000}" name="run_id"/>
    <tableColumn id="2" xr3:uid="{00000000-0010-0000-0100-000002000000}" name="campaign_id"/>
    <tableColumn id="3" xr3:uid="{00000000-0010-0000-0100-000003000000}" name="status"/>
    <tableColumn id="4" xr3:uid="{00000000-0010-0000-0100-000004000000}" name="notes"/>
    <tableColumn id="5" xr3:uid="{00000000-0010-0000-0100-000005000000}" name="stage_to_run"/>
    <tableColumn id="6" xr3:uid="{00000000-0010-0000-0100-000006000000}" name="brand_intake_file"/>
    <tableColumn id="7" xr3:uid="{00000000-0010-0000-0100-000007000000}" name="customer_feedback_fi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mpaignControlTable" displayName="CampaignControlTable" ref="A1:R3">
  <tableColumns count="18">
    <tableColumn id="1" xr3:uid="{00000000-0010-0000-0200-000001000000}" name="campaign_id"/>
    <tableColumn id="2" xr3:uid="{00000000-0010-0000-0200-000002000000}" name="campaign_type"/>
    <tableColumn id="3" xr3:uid="{00000000-0010-0000-0200-000003000000}" name="brand_id"/>
    <tableColumn id="4" xr3:uid="{00000000-0010-0000-0200-000004000000}" name="product_id"/>
    <tableColumn id="5" xr3:uid="{00000000-0010-0000-0200-000005000000}" name="offer_id"/>
    <tableColumn id="6" xr3:uid="{00000000-0010-0000-0200-000006000000}" name="campaign_objective"/>
    <tableColumn id="7" xr3:uid="{00000000-0010-0000-0200-000007000000}" name="campaign_direction"/>
    <tableColumn id="8" xr3:uid="{00000000-0010-0000-0200-000008000000}" name="primary_audience"/>
    <tableColumn id="9" xr3:uid="{00000000-0010-0000-0200-000009000000}" name="primary_angle_family"/>
    <tableColumn id="10" xr3:uid="{00000000-0010-0000-0200-00000A000000}" name="secondary_angle_family"/>
    <tableColumn id="11" xr3:uid="{00000000-0010-0000-0200-00000B000000}" name="occasion"/>
    <tableColumn id="12" xr3:uid="{00000000-0010-0000-0200-00000C000000}" name="content_intent"/>
    <tableColumn id="13" xr3:uid="{00000000-0010-0000-0200-00000D000000}" name="must_use_direction"/>
    <tableColumn id="14" xr3:uid="{00000000-0010-0000-0200-00000E000000}" name="do_not_focus"/>
    <tableColumn id="15" xr3:uid="{00000000-0010-0000-0200-00000F000000}" name="primary_channel"/>
    <tableColumn id="16" xr3:uid="{00000000-0010-0000-0200-000010000000}" name="creative_outputs"/>
    <tableColumn id="17" xr3:uid="{00000000-0010-0000-0200-000011000000}" name="status"/>
    <tableColumn id="18" xr3:uid="{00000000-0010-0000-0200-000012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rganicControlTable" displayName="OrganicControlTable" ref="A1:AK2">
  <tableColumns count="37">
    <tableColumn id="1" xr3:uid="{00000000-0010-0000-0300-000001000000}" name="organic_run_id"/>
    <tableColumn id="2" xr3:uid="{00000000-0010-0000-0300-000002000000}" name="run_id"/>
    <tableColumn id="3" xr3:uid="{00000000-0010-0000-0300-000003000000}" name="campaign_id"/>
    <tableColumn id="4" xr3:uid="{00000000-0010-0000-0300-000004000000}" name="brand_id"/>
    <tableColumn id="5" xr3:uid="{00000000-0010-0000-0300-000005000000}" name="product_id"/>
    <tableColumn id="6" xr3:uid="{00000000-0010-0000-0300-000006000000}" name="niche_id"/>
    <tableColumn id="7" xr3:uid="{00000000-0010-0000-0300-000007000000}" name="platform_id"/>
    <tableColumn id="8" xr3:uid="{00000000-0010-0000-0300-000008000000}" name="page_url"/>
    <tableColumn id="9" xr3:uid="{00000000-0010-0000-0300-000009000000}" name="organic_scope"/>
    <tableColumn id="10" xr3:uid="{00000000-0010-0000-0300-00000A000000}" name="growth_goal"/>
    <tableColumn id="11" xr3:uid="{00000000-0010-0000-0300-00000B000000}" name="growth_goal_target"/>
    <tableColumn id="12" xr3:uid="{00000000-0010-0000-0300-00000C000000}" name="growth_goal_deadline"/>
    <tableColumn id="13" xr3:uid="{00000000-0010-0000-0300-00000D000000}" name="page_stage_user_override"/>
    <tableColumn id="14" xr3:uid="{00000000-0010-0000-0300-00000E000000}" name="page_stage_ai_suggested"/>
    <tableColumn id="15" xr3:uid="{00000000-0010-0000-0300-00000F000000}" name="final_page_stage"/>
    <tableColumn id="16" xr3:uid="{00000000-0010-0000-0300-000010000000}" name="today_content_goal_user_override"/>
    <tableColumn id="17" xr3:uid="{00000000-0010-0000-0300-000011000000}" name="today_content_goal_ai_suggested"/>
    <tableColumn id="18" xr3:uid="{00000000-0010-0000-0300-000012000000}" name="final_today_content_goal"/>
    <tableColumn id="19" xr3:uid="{00000000-0010-0000-0300-000013000000}" name="organic_stage_ai_suggested"/>
    <tableColumn id="20" xr3:uid="{00000000-0010-0000-0300-000014000000}" name="content_pillars_user"/>
    <tableColumn id="21" xr3:uid="{00000000-0010-0000-0300-000015000000}" name="content_pillars_ai_suggested"/>
    <tableColumn id="22" xr3:uid="{00000000-0010-0000-0300-000016000000}" name="final_content_pillars"/>
    <tableColumn id="23" xr3:uid="{00000000-0010-0000-0300-000017000000}" name="num_posts_requested"/>
    <tableColumn id="24" xr3:uid="{00000000-0010-0000-0300-000018000000}" name="num_posts_ai_suggested"/>
    <tableColumn id="25" xr3:uid="{00000000-0010-0000-0300-000019000000}" name="final_num_posts"/>
    <tableColumn id="26" xr3:uid="{00000000-0010-0000-0300-00001A000000}" name="post_format_mix_user"/>
    <tableColumn id="27" xr3:uid="{00000000-0010-0000-0300-00001B000000}" name="post_format_mix_ai_suggested"/>
    <tableColumn id="28" xr3:uid="{00000000-0010-0000-0300-00001C000000}" name="final_post_format_mix"/>
    <tableColumn id="29" xr3:uid="{00000000-0010-0000-0300-00001D000000}" name="product_mention_level"/>
    <tableColumn id="30" xr3:uid="{00000000-0010-0000-0300-00001E000000}" name="tone_user"/>
    <tableColumn id="31" xr3:uid="{00000000-0010-0000-0300-00001F000000}" name="tone_ai_suggested"/>
    <tableColumn id="32" xr3:uid="{00000000-0010-0000-0300-000020000000}" name="final_tone"/>
    <tableColumn id="33" xr3:uid="{00000000-0010-0000-0300-000021000000}" name="must_use_topics"/>
    <tableColumn id="34" xr3:uid="{00000000-0010-0000-0300-000022000000}" name="avoid_topics"/>
    <tableColumn id="35" xr3:uid="{00000000-0010-0000-0300-000023000000}" name="language"/>
    <tableColumn id="36" xr3:uid="{00000000-0010-0000-0300-000024000000}" name="status"/>
    <tableColumn id="37" xr3:uid="{00000000-0010-0000-0300-000025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OrganicResultsTable" displayName="OrganicResultsTable" ref="A1:W2">
  <tableColumns count="23">
    <tableColumn id="1" xr3:uid="{00000000-0010-0000-0400-000001000000}" name="post_id"/>
    <tableColumn id="2" xr3:uid="{00000000-0010-0000-0400-000002000000}" name="organic_run_id"/>
    <tableColumn id="3" xr3:uid="{00000000-0010-0000-0400-000003000000}" name="published_date"/>
    <tableColumn id="4" xr3:uid="{00000000-0010-0000-0400-000004000000}" name="platform_id"/>
    <tableColumn id="5" xr3:uid="{00000000-0010-0000-0400-000005000000}" name="page_url"/>
    <tableColumn id="6" xr3:uid="{00000000-0010-0000-0400-000006000000}" name="post_url"/>
    <tableColumn id="7" xr3:uid="{00000000-0010-0000-0400-000007000000}" name="content_role"/>
    <tableColumn id="8" xr3:uid="{00000000-0010-0000-0400-000008000000}" name="content_pillar"/>
    <tableColumn id="9" xr3:uid="{00000000-0010-0000-0400-000009000000}" name="product_mention_level"/>
    <tableColumn id="10" xr3:uid="{00000000-0010-0000-0400-00000A000000}" name="post_text"/>
    <tableColumn id="11" xr3:uid="{00000000-0010-0000-0400-00000B000000}" name="likes"/>
    <tableColumn id="12" xr3:uid="{00000000-0010-0000-0400-00000C000000}" name="comments"/>
    <tableColumn id="13" xr3:uid="{00000000-0010-0000-0400-00000D000000}" name="shares"/>
    <tableColumn id="14" xr3:uid="{00000000-0010-0000-0400-00000E000000}" name="saves"/>
    <tableColumn id="15" xr3:uid="{00000000-0010-0000-0400-00000F000000}" name="reach"/>
    <tableColumn id="16" xr3:uid="{00000000-0010-0000-0400-000010000000}" name="clicks"/>
    <tableColumn id="17" xr3:uid="{00000000-0010-0000-0400-000011000000}" name="follows"/>
    <tableColumn id="18" xr3:uid="{00000000-0010-0000-0400-000012000000}" name="engagement_rate"/>
    <tableColumn id="19" xr3:uid="{00000000-0010-0000-0400-000013000000}" name="result_notes_user"/>
    <tableColumn id="20" xr3:uid="{00000000-0010-0000-0400-000014000000}" name="ai_result_summary"/>
    <tableColumn id="21" xr3:uid="{00000000-0010-0000-0400-000015000000}" name="ai_learning"/>
    <tableColumn id="22" xr3:uid="{00000000-0010-0000-0400-000016000000}" name="ai_next_action"/>
    <tableColumn id="23" xr3:uid="{00000000-0010-0000-0400-000017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ageAuditLogTable" displayName="PageAuditLogTable" ref="A1:S2">
  <tableColumns count="19">
    <tableColumn id="1" xr3:uid="{00000000-0010-0000-0500-000001000000}" name="audit_id"/>
    <tableColumn id="2" xr3:uid="{00000000-0010-0000-0500-000002000000}" name="audit_date"/>
    <tableColumn id="3" xr3:uid="{00000000-0010-0000-0500-000003000000}" name="organic_run_id"/>
    <tableColumn id="4" xr3:uid="{00000000-0010-0000-0500-000004000000}" name="brand_id"/>
    <tableColumn id="5" xr3:uid="{00000000-0010-0000-0500-000005000000}" name="niche_id"/>
    <tableColumn id="6" xr3:uid="{00000000-0010-0000-0500-000006000000}" name="platform_id"/>
    <tableColumn id="7" xr3:uid="{00000000-0010-0000-0500-000007000000}" name="page_url"/>
    <tableColumn id="8" xr3:uid="{00000000-0010-0000-0500-000008000000}" name="page_stage_user_observed"/>
    <tableColumn id="9" xr3:uid="{00000000-0010-0000-0500-000009000000}" name="page_stage_ai_suggested"/>
    <tableColumn id="10" xr3:uid="{00000000-0010-0000-0500-00000A000000}" name="main_problem_ai"/>
    <tableColumn id="11" xr3:uid="{00000000-0010-0000-0500-00000B000000}" name="content_gap_ai"/>
    <tableColumn id="12" xr3:uid="{00000000-0010-0000-0500-00000C000000}" name="best_signal_ai"/>
    <tableColumn id="13" xr3:uid="{00000000-0010-0000-0500-00000D000000}" name="weak_signal_ai"/>
    <tableColumn id="14" xr3:uid="{00000000-0010-0000-0500-00000E000000}" name="recommended_goal_ai"/>
    <tableColumn id="15" xr3:uid="{00000000-0010-0000-0500-00000F000000}" name="recommended_content_roles_ai"/>
    <tableColumn id="16" xr3:uid="{00000000-0010-0000-0500-000010000000}" name="recommended_num_posts_ai"/>
    <tableColumn id="17" xr3:uid="{00000000-0010-0000-0500-000011000000}" name="recommended_tone_ai"/>
    <tableColumn id="18" xr3:uid="{00000000-0010-0000-0500-000012000000}" name="audit_notes_user"/>
    <tableColumn id="19" xr3:uid="{00000000-0010-0000-0500-000013000000}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latformLibraryTable" displayName="PlatformLibraryTable" ref="A1:H5">
  <tableColumns count="8">
    <tableColumn id="1" xr3:uid="{00000000-0010-0000-0600-000001000000}" name="platform_id"/>
    <tableColumn id="2" xr3:uid="{00000000-0010-0000-0600-000002000000}" name="platform_name"/>
    <tableColumn id="3" xr3:uid="{00000000-0010-0000-0600-000003000000}" name="content_type_supported"/>
    <tableColumn id="4" xr3:uid="{00000000-0010-0000-0600-000004000000}" name="default_tone"/>
    <tableColumn id="5" xr3:uid="{00000000-0010-0000-0600-000005000000}" name="default_post_formats"/>
    <tableColumn id="6" xr3:uid="{00000000-0010-0000-0600-000006000000}" name="caption_length_guidance"/>
    <tableColumn id="7" xr3:uid="{00000000-0010-0000-0600-000007000000}" name="engagement_style"/>
    <tableColumn id="8" xr3:uid="{00000000-0010-0000-0600-000008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NicheLibraryTable" displayName="NicheLibraryTable" ref="A1:J4">
  <tableColumns count="10">
    <tableColumn id="1" xr3:uid="{00000000-0010-0000-0700-000001000000}" name="niche_id"/>
    <tableColumn id="2" xr3:uid="{00000000-0010-0000-0700-000002000000}" name="niche_name"/>
    <tableColumn id="3" xr3:uid="{00000000-0010-0000-0700-000003000000}" name="parent_niche"/>
    <tableColumn id="4" xr3:uid="{00000000-0010-0000-0700-000004000000}" name="audience_type"/>
    <tableColumn id="5" xr3:uid="{00000000-0010-0000-0700-000005000000}" name="core_topics"/>
    <tableColumn id="6" xr3:uid="{00000000-0010-0000-0700-000006000000}" name="common_pains"/>
    <tableColumn id="7" xr3:uid="{00000000-0010-0000-0700-000007000000}" name="common_desires"/>
    <tableColumn id="8" xr3:uid="{00000000-0010-0000-0700-000008000000}" name="content_angles"/>
    <tableColumn id="9" xr3:uid="{00000000-0010-0000-0700-000009000000}" name="avoid_topics"/>
    <tableColumn id="10" xr3:uid="{00000000-0010-0000-0700-00000A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reativeStyleLibraryTable" displayName="CreativeStyleLibraryTable" ref="A1:E11">
  <tableColumns count="5">
    <tableColumn id="1" xr3:uid="{00000000-0010-0000-0800-000001000000}" name="style_id"/>
    <tableColumn id="2" xr3:uid="{00000000-0010-0000-0800-000002000000}" name="style_name"/>
    <tableColumn id="3" xr3:uid="{00000000-0010-0000-0800-000003000000}" name="best_for"/>
    <tableColumn id="4" xr3:uid="{00000000-0010-0000-0800-000004000000}" name="description"/>
    <tableColumn id="5" xr3:uid="{00000000-0010-0000-0800-000005000000}" name="example_us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ampaignDirectionLibraryTable" displayName="CampaignDirectionLibraryTable" ref="A1:E6">
  <tableColumns count="5">
    <tableColumn id="1" xr3:uid="{00000000-0010-0000-0900-000001000000}" name="campaign_direction"/>
    <tableColumn id="2" xr3:uid="{00000000-0010-0000-0900-000002000000}" name="description"/>
    <tableColumn id="3" xr3:uid="{00000000-0010-0000-0900-000003000000}" name="best_for"/>
    <tableColumn id="4" xr3:uid="{00000000-0010-0000-0900-000004000000}" name="example_primary_angle_family"/>
    <tableColumn id="5" xr3:uid="{00000000-0010-0000-0900-000005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AngleFamilyLibraryTable" displayName="AngleFamilyLibraryTable" ref="A1:D6">
  <tableColumns count="4">
    <tableColumn id="1" xr3:uid="{00000000-0010-0000-0A00-000001000000}" name="angle_family"/>
    <tableColumn id="2" xr3:uid="{00000000-0010-0000-0A00-000002000000}" name="description"/>
    <tableColumn id="3" xr3:uid="{00000000-0010-0000-0A00-000003000000}" name="example_expression"/>
    <tableColumn id="4" xr3:uid="{00000000-0010-0000-0A00-000004000000}" name="best_fo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AllowedValuesTable" displayName="AllowedValuesTable" ref="A1:C25">
  <tableColumns count="3">
    <tableColumn id="1" xr3:uid="{00000000-0010-0000-0B00-000001000000}" name="category"/>
    <tableColumn id="2" xr3:uid="{00000000-0010-0000-0B00-000002000000}" name="allowed_value"/>
    <tableColumn id="3" xr3:uid="{00000000-0010-0000-0B00-000003000000}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AIFieldGuideTable" displayName="AIFieldGuideTable" ref="A1:F15">
  <tableColumns count="6">
    <tableColumn id="1" xr3:uid="{00000000-0010-0000-0C00-000001000000}" name="sheet_name"/>
    <tableColumn id="2" xr3:uid="{00000000-0010-0000-0C00-000002000000}" name="column_name"/>
    <tableColumn id="3" xr3:uid="{00000000-0010-0000-0C00-000003000000}" name="owner"/>
    <tableColumn id="4" xr3:uid="{00000000-0010-0000-0C00-000004000000}" name="meaning"/>
    <tableColumn id="5" xr3:uid="{00000000-0010-0000-0C00-000005000000}" name="color_code"/>
    <tableColumn id="6" xr3:uid="{00000000-0010-0000-0C00-000006000000}" name="how_to_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B4" sqref="B4"/>
    </sheetView>
  </sheetViews>
  <sheetFormatPr baseColWidth="10" defaultColWidth="8.83203125" defaultRowHeight="15"/>
  <cols>
    <col min="1" max="1" width="24" customWidth="1"/>
    <col min="2" max="2" width="80" customWidth="1"/>
    <col min="3" max="3" width="16" customWidth="1"/>
    <col min="4" max="4" width="48" customWidth="1"/>
    <col min="5" max="5" width="64" customWidth="1"/>
  </cols>
  <sheetData>
    <row r="1" spans="1:5" ht="45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64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64" customHeight="1">
      <c r="A3" s="1" t="s">
        <v>10</v>
      </c>
      <c r="B3" s="1" t="s">
        <v>11</v>
      </c>
      <c r="C3" s="1" t="s">
        <v>7</v>
      </c>
      <c r="D3" s="1" t="s">
        <v>12</v>
      </c>
      <c r="E3" s="1" t="s">
        <v>13</v>
      </c>
    </row>
    <row r="4" spans="1:5" ht="64" customHeight="1">
      <c r="A4" s="1" t="s">
        <v>14</v>
      </c>
      <c r="B4" s="1" t="s">
        <v>15</v>
      </c>
      <c r="C4" s="1" t="s">
        <v>7</v>
      </c>
      <c r="D4" s="1" t="s">
        <v>16</v>
      </c>
      <c r="E4" s="1" t="s">
        <v>17</v>
      </c>
    </row>
    <row r="5" spans="1:5" ht="64" customHeight="1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r="6" spans="1:5" ht="64" customHeight="1">
      <c r="A6" s="1" t="s">
        <v>23</v>
      </c>
      <c r="B6" s="1" t="s">
        <v>24</v>
      </c>
      <c r="C6" s="1" t="s">
        <v>25</v>
      </c>
      <c r="D6" s="1" t="s">
        <v>21</v>
      </c>
      <c r="E6" s="1" t="s">
        <v>26</v>
      </c>
    </row>
    <row r="7" spans="1:5" ht="64" customHeight="1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</row>
    <row r="8" spans="1:5" ht="64" customHeight="1">
      <c r="A8" s="1" t="s">
        <v>32</v>
      </c>
      <c r="B8" s="1" t="s">
        <v>33</v>
      </c>
      <c r="C8" s="1" t="s">
        <v>7</v>
      </c>
      <c r="D8" s="1" t="s">
        <v>34</v>
      </c>
      <c r="E8" s="1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selection activeCell="F1" sqref="F1:G1"/>
    </sheetView>
  </sheetViews>
  <sheetFormatPr baseColWidth="10" defaultColWidth="8.83203125" defaultRowHeight="15"/>
  <cols>
    <col min="1" max="1" width="28" customWidth="1"/>
    <col min="2" max="2" width="24" customWidth="1"/>
    <col min="3" max="3" width="14" customWidth="1"/>
    <col min="4" max="4" width="42" customWidth="1"/>
    <col min="5" max="5" width="16" customWidth="1"/>
    <col min="6" max="6" width="68" customWidth="1"/>
    <col min="7" max="7" width="42" customWidth="1"/>
  </cols>
  <sheetData>
    <row r="1" spans="1:7" ht="45.25" customHeight="1">
      <c r="A1" s="3" t="s">
        <v>36</v>
      </c>
      <c r="B1" s="3" t="s">
        <v>37</v>
      </c>
      <c r="C1" s="3" t="s">
        <v>38</v>
      </c>
      <c r="D1" s="3" t="s">
        <v>39</v>
      </c>
      <c r="E1" s="4" t="s">
        <v>40</v>
      </c>
      <c r="F1" s="5" t="s">
        <v>41</v>
      </c>
      <c r="G1" s="5" t="s">
        <v>42</v>
      </c>
    </row>
    <row r="2" spans="1:7" ht="64" customHeight="1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  <c r="G2" s="1" t="s">
        <v>49</v>
      </c>
    </row>
    <row r="3" spans="1:7" ht="64" customHeight="1">
      <c r="A3" s="1" t="s">
        <v>50</v>
      </c>
      <c r="B3" s="1" t="s">
        <v>44</v>
      </c>
      <c r="C3" s="1" t="s">
        <v>45</v>
      </c>
      <c r="D3" s="1" t="s">
        <v>51</v>
      </c>
      <c r="E3" s="1" t="s">
        <v>52</v>
      </c>
      <c r="F3" s="1" t="s">
        <v>48</v>
      </c>
      <c r="G3" s="1" t="s">
        <v>49</v>
      </c>
    </row>
  </sheetData>
  <dataValidations count="2">
    <dataValidation type="list" sqref="C2:C200" xr:uid="{00000000-0002-0000-0100-000000000000}">
      <formula1>"prepare,run,finish,paused"</formula1>
    </dataValidation>
    <dataValidation type="list" sqref="E2:E200" xr:uid="{00000000-0002-0000-0100-000001000000}">
      <formula1>"research,insight,strategy,creative,organic"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"/>
  <sheetViews>
    <sheetView workbookViewId="0">
      <selection activeCell="G2" sqref="G2"/>
    </sheetView>
  </sheetViews>
  <sheetFormatPr baseColWidth="10" defaultColWidth="8.83203125" defaultRowHeight="15"/>
  <cols>
    <col min="1" max="1" width="24" customWidth="1"/>
    <col min="2" max="2" width="16" customWidth="1"/>
    <col min="3" max="3" width="14" customWidth="1"/>
    <col min="4" max="4" width="18" customWidth="1"/>
    <col min="5" max="5" width="16" customWidth="1"/>
    <col min="6" max="6" width="20" customWidth="1"/>
    <col min="7" max="7" width="24" customWidth="1"/>
    <col min="8" max="8" width="36" customWidth="1"/>
    <col min="9" max="9" width="24" customWidth="1"/>
    <col min="10" max="10" width="36" customWidth="1"/>
    <col min="11" max="11" width="16" customWidth="1"/>
    <col min="12" max="12" width="30" customWidth="1"/>
    <col min="13" max="14" width="68" customWidth="1"/>
    <col min="15" max="15" width="24" customWidth="1"/>
    <col min="16" max="16" width="28" customWidth="1"/>
    <col min="17" max="17" width="14" customWidth="1"/>
    <col min="18" max="18" width="54" customWidth="1"/>
  </cols>
  <sheetData>
    <row r="1" spans="1:18" ht="45.25" customHeight="1">
      <c r="A1" s="3" t="s">
        <v>37</v>
      </c>
      <c r="B1" s="3" t="s">
        <v>53</v>
      </c>
      <c r="C1" s="5" t="s">
        <v>54</v>
      </c>
      <c r="D1" s="5" t="s">
        <v>55</v>
      </c>
      <c r="E1" s="5" t="s">
        <v>56</v>
      </c>
      <c r="F1" s="3" t="s">
        <v>57</v>
      </c>
      <c r="G1" s="3" t="s">
        <v>58</v>
      </c>
      <c r="H1" s="3" t="s">
        <v>59</v>
      </c>
      <c r="I1" s="3" t="s">
        <v>60</v>
      </c>
      <c r="J1" s="3" t="s">
        <v>61</v>
      </c>
      <c r="K1" s="3" t="s">
        <v>62</v>
      </c>
      <c r="L1" s="3" t="s">
        <v>63</v>
      </c>
      <c r="M1" s="3" t="s">
        <v>64</v>
      </c>
      <c r="N1" s="3" t="s">
        <v>65</v>
      </c>
      <c r="O1" s="3" t="s">
        <v>66</v>
      </c>
      <c r="P1" s="3" t="s">
        <v>67</v>
      </c>
      <c r="Q1" s="3" t="s">
        <v>38</v>
      </c>
      <c r="R1" s="3" t="s">
        <v>39</v>
      </c>
    </row>
    <row r="2" spans="1:18" ht="64" customHeight="1">
      <c r="A2" s="1" t="s">
        <v>44</v>
      </c>
      <c r="B2" s="1" t="s">
        <v>68</v>
      </c>
      <c r="C2" s="1" t="s">
        <v>69</v>
      </c>
      <c r="D2" s="1" t="s">
        <v>70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75</v>
      </c>
      <c r="J2" s="1" t="s">
        <v>76</v>
      </c>
      <c r="K2" s="1" t="s">
        <v>77</v>
      </c>
      <c r="L2" s="1" t="s">
        <v>78</v>
      </c>
      <c r="M2" s="1" t="s">
        <v>79</v>
      </c>
      <c r="N2" s="1" t="s">
        <v>80</v>
      </c>
      <c r="O2" s="1" t="s">
        <v>81</v>
      </c>
      <c r="P2" s="1" t="s">
        <v>78</v>
      </c>
      <c r="Q2" s="1" t="s">
        <v>82</v>
      </c>
      <c r="R2" s="1" t="s">
        <v>83</v>
      </c>
    </row>
    <row r="3" spans="1:18" ht="64" customHeight="1">
      <c r="A3" s="1" t="s">
        <v>84</v>
      </c>
      <c r="B3" s="1" t="s">
        <v>68</v>
      </c>
      <c r="C3" s="1" t="s">
        <v>69</v>
      </c>
      <c r="D3" s="1" t="s">
        <v>70</v>
      </c>
      <c r="E3" s="1" t="s">
        <v>71</v>
      </c>
      <c r="F3" s="1" t="s">
        <v>72</v>
      </c>
      <c r="G3" s="1" t="s">
        <v>85</v>
      </c>
      <c r="H3" s="1" t="s">
        <v>86</v>
      </c>
      <c r="I3" s="1" t="s">
        <v>87</v>
      </c>
      <c r="J3" s="1" t="s">
        <v>88</v>
      </c>
      <c r="K3" s="1" t="s">
        <v>89</v>
      </c>
      <c r="L3" s="1" t="s">
        <v>78</v>
      </c>
      <c r="M3" s="1" t="s">
        <v>90</v>
      </c>
      <c r="N3" s="1" t="s">
        <v>91</v>
      </c>
      <c r="O3" s="1" t="s">
        <v>81</v>
      </c>
      <c r="P3" s="1" t="s">
        <v>78</v>
      </c>
      <c r="Q3" s="1" t="s">
        <v>92</v>
      </c>
      <c r="R3" s="1" t="s">
        <v>93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"/>
  <sheetViews>
    <sheetView workbookViewId="0">
      <selection activeCell="H5" sqref="H5"/>
    </sheetView>
  </sheetViews>
  <sheetFormatPr baseColWidth="10" defaultColWidth="8.83203125" defaultRowHeight="15"/>
  <cols>
    <col min="1" max="1" width="28" customWidth="1"/>
    <col min="2" max="2" width="18" customWidth="1"/>
    <col min="3" max="3" width="24" customWidth="1"/>
    <col min="4" max="4" width="14" customWidth="1"/>
    <col min="5" max="5" width="18" customWidth="1"/>
    <col min="6" max="6" width="22" customWidth="1"/>
    <col min="7" max="7" width="14" customWidth="1"/>
    <col min="8" max="8" width="42" customWidth="1"/>
    <col min="9" max="9" width="30" customWidth="1"/>
    <col min="10" max="10" width="52" customWidth="1"/>
    <col min="11" max="11" width="22" customWidth="1"/>
    <col min="12" max="12" width="18" customWidth="1"/>
    <col min="13" max="14" width="28" customWidth="1"/>
    <col min="15" max="15" width="24" customWidth="1"/>
    <col min="16" max="17" width="34" customWidth="1"/>
    <col min="18" max="19" width="28" customWidth="1"/>
    <col min="20" max="20" width="46" customWidth="1"/>
    <col min="21" max="22" width="50" customWidth="1"/>
    <col min="23" max="23" width="20" customWidth="1"/>
    <col min="24" max="24" width="24" customWidth="1"/>
    <col min="25" max="25" width="18" customWidth="1"/>
    <col min="26" max="26" width="42" customWidth="1"/>
    <col min="27" max="27" width="50" customWidth="1"/>
    <col min="28" max="28" width="44" customWidth="1"/>
    <col min="29" max="29" width="22" customWidth="1"/>
    <col min="30" max="32" width="34" customWidth="1"/>
    <col min="33" max="34" width="44" customWidth="1"/>
    <col min="35" max="35" width="12" customWidth="1"/>
    <col min="36" max="36" width="14" customWidth="1"/>
    <col min="37" max="37" width="64" customWidth="1"/>
  </cols>
  <sheetData>
    <row r="1" spans="1:37" ht="45.25" customHeight="1">
      <c r="A1" s="3" t="s">
        <v>94</v>
      </c>
      <c r="B1" s="5" t="s">
        <v>36</v>
      </c>
      <c r="C1" s="5" t="s">
        <v>37</v>
      </c>
      <c r="D1" s="5" t="s">
        <v>54</v>
      </c>
      <c r="E1" s="5" t="s">
        <v>55</v>
      </c>
      <c r="F1" s="5" t="s">
        <v>95</v>
      </c>
      <c r="G1" s="5" t="s">
        <v>96</v>
      </c>
      <c r="H1" s="3" t="s">
        <v>97</v>
      </c>
      <c r="I1" s="3" t="s">
        <v>98</v>
      </c>
      <c r="J1" s="3" t="s">
        <v>99</v>
      </c>
      <c r="K1" s="3" t="s">
        <v>100</v>
      </c>
      <c r="L1" s="3" t="s">
        <v>101</v>
      </c>
      <c r="M1" s="3" t="s">
        <v>102</v>
      </c>
      <c r="N1" s="6" t="s">
        <v>103</v>
      </c>
      <c r="O1" s="4" t="s">
        <v>104</v>
      </c>
      <c r="P1" s="3" t="s">
        <v>105</v>
      </c>
      <c r="Q1" s="6" t="s">
        <v>106</v>
      </c>
      <c r="R1" s="4" t="s">
        <v>107</v>
      </c>
      <c r="S1" s="6" t="s">
        <v>108</v>
      </c>
      <c r="T1" s="3" t="s">
        <v>109</v>
      </c>
      <c r="U1" s="6" t="s">
        <v>110</v>
      </c>
      <c r="V1" s="4" t="s">
        <v>111</v>
      </c>
      <c r="W1" s="3" t="s">
        <v>112</v>
      </c>
      <c r="X1" s="6" t="s">
        <v>113</v>
      </c>
      <c r="Y1" s="4" t="s">
        <v>114</v>
      </c>
      <c r="Z1" s="3" t="s">
        <v>115</v>
      </c>
      <c r="AA1" s="6" t="s">
        <v>116</v>
      </c>
      <c r="AB1" s="4" t="s">
        <v>117</v>
      </c>
      <c r="AC1" s="3" t="s">
        <v>118</v>
      </c>
      <c r="AD1" s="3" t="s">
        <v>119</v>
      </c>
      <c r="AE1" s="6" t="s">
        <v>120</v>
      </c>
      <c r="AF1" s="4" t="s">
        <v>121</v>
      </c>
      <c r="AG1" s="3" t="s">
        <v>122</v>
      </c>
      <c r="AH1" s="3" t="s">
        <v>123</v>
      </c>
      <c r="AI1" s="3" t="s">
        <v>124</v>
      </c>
      <c r="AJ1" s="3" t="s">
        <v>38</v>
      </c>
      <c r="AK1" s="3" t="s">
        <v>39</v>
      </c>
    </row>
    <row r="2" spans="1:37" ht="64" customHeight="1">
      <c r="A2" s="1" t="s">
        <v>50</v>
      </c>
      <c r="B2" s="1" t="s">
        <v>43</v>
      </c>
      <c r="C2" s="1" t="s">
        <v>44</v>
      </c>
      <c r="D2" s="1" t="s">
        <v>69</v>
      </c>
      <c r="E2" s="1"/>
      <c r="F2" s="1" t="s">
        <v>125</v>
      </c>
      <c r="G2" s="1" t="s">
        <v>126</v>
      </c>
      <c r="H2" s="1" t="s">
        <v>455</v>
      </c>
      <c r="I2" s="1" t="s">
        <v>127</v>
      </c>
      <c r="J2" s="1" t="s">
        <v>128</v>
      </c>
      <c r="K2" s="1" t="s">
        <v>129</v>
      </c>
      <c r="L2" s="1" t="s">
        <v>130</v>
      </c>
      <c r="M2" s="1"/>
      <c r="N2" s="1" t="s">
        <v>131</v>
      </c>
      <c r="O2" s="1" t="s">
        <v>131</v>
      </c>
      <c r="P2" s="1"/>
      <c r="Q2" s="1" t="s">
        <v>132</v>
      </c>
      <c r="R2" s="1" t="s">
        <v>132</v>
      </c>
      <c r="S2" s="1" t="s">
        <v>133</v>
      </c>
      <c r="T2" s="1" t="s">
        <v>134</v>
      </c>
      <c r="U2" s="1" t="s">
        <v>135</v>
      </c>
      <c r="V2" s="1" t="s">
        <v>135</v>
      </c>
      <c r="W2" s="1">
        <v>5</v>
      </c>
      <c r="X2" s="1">
        <v>7</v>
      </c>
      <c r="Y2" s="1">
        <v>5</v>
      </c>
      <c r="Z2" s="1" t="s">
        <v>136</v>
      </c>
      <c r="AA2" s="1" t="s">
        <v>137</v>
      </c>
      <c r="AB2" s="1" t="s">
        <v>136</v>
      </c>
      <c r="AC2" s="1" t="s">
        <v>138</v>
      </c>
      <c r="AD2" s="1" t="s">
        <v>139</v>
      </c>
      <c r="AE2" s="1" t="s">
        <v>140</v>
      </c>
      <c r="AF2" s="1" t="s">
        <v>139</v>
      </c>
      <c r="AG2" s="1" t="s">
        <v>141</v>
      </c>
      <c r="AH2" s="1" t="s">
        <v>142</v>
      </c>
      <c r="AI2" s="1" t="s">
        <v>143</v>
      </c>
      <c r="AJ2" s="1" t="s">
        <v>45</v>
      </c>
      <c r="AK2" s="1" t="s">
        <v>144</v>
      </c>
    </row>
  </sheetData>
  <dataValidations count="4">
    <dataValidation type="list" sqref="M2:O200" xr:uid="{00000000-0002-0000-0300-000002000000}">
      <formula1>"new_page,low_content_page,inconsistent_page,growing_page,active_page,warm_audience_page"</formula1>
    </dataValidation>
    <dataValidation type="list" sqref="AC2:AC200" xr:uid="{00000000-0002-0000-0300-000003000000}">
      <formula1>"none,soft,medium,direct"</formula1>
    </dataValidation>
    <dataValidation type="list" sqref="AI2:AI200" xr:uid="{00000000-0002-0000-0300-000004000000}">
      <formula1>"en,vi,en,vi"</formula1>
    </dataValidation>
    <dataValidation type="list" sqref="AJ2:AJ200" xr:uid="{00000000-0002-0000-0300-000005000000}">
      <formula1>"prepare,run,finish,paused"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0000000}">
          <x14:formula1>
            <xm:f>Niche_Library!$A$2:$A$100</xm:f>
          </x14:formula1>
          <xm:sqref>F2:F200</xm:sqref>
        </x14:dataValidation>
        <x14:dataValidation type="list" xr:uid="{00000000-0002-0000-0300-000001000000}">
          <x14:formula1>
            <xm:f>Platform_Library!$A$2:$A$100</xm:f>
          </x14:formula1>
          <xm:sqref>G2:G200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00"/>
  <sheetViews>
    <sheetView workbookViewId="0">
      <selection activeCell="E10" sqref="E10"/>
    </sheetView>
  </sheetViews>
  <sheetFormatPr baseColWidth="10" defaultColWidth="8.83203125" defaultRowHeight="15"/>
  <cols>
    <col min="1" max="1" width="18" customWidth="1"/>
    <col min="2" max="2" width="28" customWidth="1"/>
    <col min="3" max="3" width="18" customWidth="1"/>
    <col min="4" max="4" width="14" customWidth="1"/>
    <col min="5" max="6" width="42" customWidth="1"/>
    <col min="7" max="8" width="24" customWidth="1"/>
    <col min="9" max="9" width="22" customWidth="1"/>
    <col min="10" max="10" width="60" customWidth="1"/>
    <col min="11" max="17" width="12" customWidth="1"/>
    <col min="18" max="18" width="16" customWidth="1"/>
    <col min="19" max="22" width="42" customWidth="1"/>
    <col min="23" max="23" width="14" customWidth="1"/>
  </cols>
  <sheetData>
    <row r="1" spans="1:23" ht="45.25" customHeight="1">
      <c r="A1" s="3" t="s">
        <v>145</v>
      </c>
      <c r="B1" s="5" t="s">
        <v>94</v>
      </c>
      <c r="C1" s="3" t="s">
        <v>146</v>
      </c>
      <c r="D1" s="5" t="s">
        <v>96</v>
      </c>
      <c r="E1" s="3" t="s">
        <v>97</v>
      </c>
      <c r="F1" s="3" t="s">
        <v>147</v>
      </c>
      <c r="G1" s="3" t="s">
        <v>148</v>
      </c>
      <c r="H1" s="3" t="s">
        <v>149</v>
      </c>
      <c r="I1" s="3" t="s">
        <v>118</v>
      </c>
      <c r="J1" s="3" t="s">
        <v>150</v>
      </c>
      <c r="K1" s="3" t="s">
        <v>151</v>
      </c>
      <c r="L1" s="3" t="s">
        <v>152</v>
      </c>
      <c r="M1" s="3" t="s">
        <v>153</v>
      </c>
      <c r="N1" s="3" t="s">
        <v>154</v>
      </c>
      <c r="O1" s="3" t="s">
        <v>155</v>
      </c>
      <c r="P1" s="3" t="s">
        <v>156</v>
      </c>
      <c r="Q1" s="3" t="s">
        <v>157</v>
      </c>
      <c r="R1" s="4" t="s">
        <v>158</v>
      </c>
      <c r="S1" s="3" t="s">
        <v>159</v>
      </c>
      <c r="T1" s="6" t="s">
        <v>160</v>
      </c>
      <c r="U1" s="6" t="s">
        <v>161</v>
      </c>
      <c r="V1" s="6" t="s">
        <v>162</v>
      </c>
      <c r="W1" s="3" t="s">
        <v>38</v>
      </c>
    </row>
    <row r="2" spans="1:23" ht="64" customHeight="1">
      <c r="A2" s="1" t="s">
        <v>163</v>
      </c>
      <c r="B2" s="1" t="s">
        <v>50</v>
      </c>
      <c r="C2" s="1" t="s">
        <v>164</v>
      </c>
      <c r="D2" s="1" t="s">
        <v>126</v>
      </c>
      <c r="E2" s="1" t="s">
        <v>455</v>
      </c>
      <c r="F2" s="1"/>
      <c r="G2" s="1" t="s">
        <v>165</v>
      </c>
      <c r="H2" s="1" t="s">
        <v>166</v>
      </c>
      <c r="I2" s="1" t="s">
        <v>138</v>
      </c>
      <c r="J2" s="1" t="s">
        <v>167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7">
        <f t="shared" ref="R2:R33" si="0">IF(O2&gt;0,(K2+L2+M2+N2)/O2,0)</f>
        <v>0</v>
      </c>
      <c r="S2" s="1" t="s">
        <v>168</v>
      </c>
      <c r="T2" s="1" t="s">
        <v>169</v>
      </c>
      <c r="U2" s="1" t="s">
        <v>170</v>
      </c>
      <c r="V2" s="1" t="s">
        <v>171</v>
      </c>
      <c r="W2" s="1" t="s">
        <v>172</v>
      </c>
    </row>
    <row r="3" spans="1:23">
      <c r="R3" s="8">
        <f t="shared" si="0"/>
        <v>0</v>
      </c>
    </row>
    <row r="4" spans="1:23">
      <c r="R4" s="8">
        <f t="shared" si="0"/>
        <v>0</v>
      </c>
    </row>
    <row r="5" spans="1:23">
      <c r="R5" s="8">
        <f t="shared" si="0"/>
        <v>0</v>
      </c>
    </row>
    <row r="6" spans="1:23">
      <c r="R6" s="8">
        <f t="shared" si="0"/>
        <v>0</v>
      </c>
    </row>
    <row r="7" spans="1:23">
      <c r="R7" s="8">
        <f t="shared" si="0"/>
        <v>0</v>
      </c>
    </row>
    <row r="8" spans="1:23">
      <c r="R8" s="8">
        <f t="shared" si="0"/>
        <v>0</v>
      </c>
    </row>
    <row r="9" spans="1:23">
      <c r="R9" s="8">
        <f t="shared" si="0"/>
        <v>0</v>
      </c>
    </row>
    <row r="10" spans="1:23">
      <c r="R10" s="8">
        <f t="shared" si="0"/>
        <v>0</v>
      </c>
    </row>
    <row r="11" spans="1:23">
      <c r="R11" s="8">
        <f t="shared" si="0"/>
        <v>0</v>
      </c>
    </row>
    <row r="12" spans="1:23">
      <c r="R12" s="8">
        <f t="shared" si="0"/>
        <v>0</v>
      </c>
    </row>
    <row r="13" spans="1:23">
      <c r="R13" s="8">
        <f t="shared" si="0"/>
        <v>0</v>
      </c>
    </row>
    <row r="14" spans="1:23">
      <c r="R14" s="8">
        <f t="shared" si="0"/>
        <v>0</v>
      </c>
    </row>
    <row r="15" spans="1:23">
      <c r="R15" s="8">
        <f t="shared" si="0"/>
        <v>0</v>
      </c>
    </row>
    <row r="16" spans="1:23">
      <c r="R16" s="8">
        <f t="shared" si="0"/>
        <v>0</v>
      </c>
    </row>
    <row r="17" spans="18:18">
      <c r="R17" s="8">
        <f t="shared" si="0"/>
        <v>0</v>
      </c>
    </row>
    <row r="18" spans="18:18">
      <c r="R18" s="8">
        <f t="shared" si="0"/>
        <v>0</v>
      </c>
    </row>
    <row r="19" spans="18:18">
      <c r="R19" s="8">
        <f t="shared" si="0"/>
        <v>0</v>
      </c>
    </row>
    <row r="20" spans="18:18">
      <c r="R20" s="8">
        <f t="shared" si="0"/>
        <v>0</v>
      </c>
    </row>
    <row r="21" spans="18:18">
      <c r="R21" s="8">
        <f t="shared" si="0"/>
        <v>0</v>
      </c>
    </row>
    <row r="22" spans="18:18">
      <c r="R22" s="8">
        <f t="shared" si="0"/>
        <v>0</v>
      </c>
    </row>
    <row r="23" spans="18:18">
      <c r="R23" s="8">
        <f t="shared" si="0"/>
        <v>0</v>
      </c>
    </row>
    <row r="24" spans="18:18">
      <c r="R24" s="8">
        <f t="shared" si="0"/>
        <v>0</v>
      </c>
    </row>
    <row r="25" spans="18:18">
      <c r="R25" s="8">
        <f t="shared" si="0"/>
        <v>0</v>
      </c>
    </row>
    <row r="26" spans="18:18">
      <c r="R26" s="8">
        <f t="shared" si="0"/>
        <v>0</v>
      </c>
    </row>
    <row r="27" spans="18:18">
      <c r="R27" s="8">
        <f t="shared" si="0"/>
        <v>0</v>
      </c>
    </row>
    <row r="28" spans="18:18">
      <c r="R28" s="8">
        <f t="shared" si="0"/>
        <v>0</v>
      </c>
    </row>
    <row r="29" spans="18:18">
      <c r="R29" s="8">
        <f t="shared" si="0"/>
        <v>0</v>
      </c>
    </row>
    <row r="30" spans="18:18">
      <c r="R30" s="8">
        <f t="shared" si="0"/>
        <v>0</v>
      </c>
    </row>
    <row r="31" spans="18:18">
      <c r="R31" s="8">
        <f t="shared" si="0"/>
        <v>0</v>
      </c>
    </row>
    <row r="32" spans="18:18">
      <c r="R32" s="8">
        <f t="shared" si="0"/>
        <v>0</v>
      </c>
    </row>
    <row r="33" spans="18:18">
      <c r="R33" s="8">
        <f t="shared" si="0"/>
        <v>0</v>
      </c>
    </row>
    <row r="34" spans="18:18">
      <c r="R34" s="8">
        <f t="shared" ref="R34:R65" si="1">IF(O34&gt;0,(K34+L34+M34+N34)/O34,0)</f>
        <v>0</v>
      </c>
    </row>
    <row r="35" spans="18:18">
      <c r="R35" s="8">
        <f t="shared" si="1"/>
        <v>0</v>
      </c>
    </row>
    <row r="36" spans="18:18">
      <c r="R36" s="8">
        <f t="shared" si="1"/>
        <v>0</v>
      </c>
    </row>
    <row r="37" spans="18:18">
      <c r="R37" s="8">
        <f t="shared" si="1"/>
        <v>0</v>
      </c>
    </row>
    <row r="38" spans="18:18">
      <c r="R38" s="8">
        <f t="shared" si="1"/>
        <v>0</v>
      </c>
    </row>
    <row r="39" spans="18:18">
      <c r="R39" s="8">
        <f t="shared" si="1"/>
        <v>0</v>
      </c>
    </row>
    <row r="40" spans="18:18">
      <c r="R40" s="8">
        <f t="shared" si="1"/>
        <v>0</v>
      </c>
    </row>
    <row r="41" spans="18:18">
      <c r="R41" s="8">
        <f t="shared" si="1"/>
        <v>0</v>
      </c>
    </row>
    <row r="42" spans="18:18">
      <c r="R42" s="8">
        <f t="shared" si="1"/>
        <v>0</v>
      </c>
    </row>
    <row r="43" spans="18:18">
      <c r="R43" s="8">
        <f t="shared" si="1"/>
        <v>0</v>
      </c>
    </row>
    <row r="44" spans="18:18">
      <c r="R44" s="8">
        <f t="shared" si="1"/>
        <v>0</v>
      </c>
    </row>
    <row r="45" spans="18:18">
      <c r="R45" s="8">
        <f t="shared" si="1"/>
        <v>0</v>
      </c>
    </row>
    <row r="46" spans="18:18">
      <c r="R46" s="8">
        <f t="shared" si="1"/>
        <v>0</v>
      </c>
    </row>
    <row r="47" spans="18:18">
      <c r="R47" s="8">
        <f t="shared" si="1"/>
        <v>0</v>
      </c>
    </row>
    <row r="48" spans="18:18">
      <c r="R48" s="8">
        <f t="shared" si="1"/>
        <v>0</v>
      </c>
    </row>
    <row r="49" spans="18:18">
      <c r="R49" s="8">
        <f t="shared" si="1"/>
        <v>0</v>
      </c>
    </row>
    <row r="50" spans="18:18">
      <c r="R50" s="8">
        <f t="shared" si="1"/>
        <v>0</v>
      </c>
    </row>
    <row r="51" spans="18:18">
      <c r="R51" s="8">
        <f t="shared" si="1"/>
        <v>0</v>
      </c>
    </row>
    <row r="52" spans="18:18">
      <c r="R52" s="8">
        <f t="shared" si="1"/>
        <v>0</v>
      </c>
    </row>
    <row r="53" spans="18:18">
      <c r="R53" s="8">
        <f t="shared" si="1"/>
        <v>0</v>
      </c>
    </row>
    <row r="54" spans="18:18">
      <c r="R54" s="8">
        <f t="shared" si="1"/>
        <v>0</v>
      </c>
    </row>
    <row r="55" spans="18:18">
      <c r="R55" s="8">
        <f t="shared" si="1"/>
        <v>0</v>
      </c>
    </row>
    <row r="56" spans="18:18">
      <c r="R56" s="8">
        <f t="shared" si="1"/>
        <v>0</v>
      </c>
    </row>
    <row r="57" spans="18:18">
      <c r="R57" s="8">
        <f t="shared" si="1"/>
        <v>0</v>
      </c>
    </row>
    <row r="58" spans="18:18">
      <c r="R58" s="8">
        <f t="shared" si="1"/>
        <v>0</v>
      </c>
    </row>
    <row r="59" spans="18:18">
      <c r="R59" s="8">
        <f t="shared" si="1"/>
        <v>0</v>
      </c>
    </row>
    <row r="60" spans="18:18">
      <c r="R60" s="8">
        <f t="shared" si="1"/>
        <v>0</v>
      </c>
    </row>
    <row r="61" spans="18:18">
      <c r="R61" s="8">
        <f t="shared" si="1"/>
        <v>0</v>
      </c>
    </row>
    <row r="62" spans="18:18">
      <c r="R62" s="8">
        <f t="shared" si="1"/>
        <v>0</v>
      </c>
    </row>
    <row r="63" spans="18:18">
      <c r="R63" s="8">
        <f t="shared" si="1"/>
        <v>0</v>
      </c>
    </row>
    <row r="64" spans="18:18">
      <c r="R64" s="8">
        <f t="shared" si="1"/>
        <v>0</v>
      </c>
    </row>
    <row r="65" spans="18:18">
      <c r="R65" s="8">
        <f t="shared" si="1"/>
        <v>0</v>
      </c>
    </row>
    <row r="66" spans="18:18">
      <c r="R66" s="8">
        <f t="shared" ref="R66:R97" si="2">IF(O66&gt;0,(K66+L66+M66+N66)/O66,0)</f>
        <v>0</v>
      </c>
    </row>
    <row r="67" spans="18:18">
      <c r="R67" s="8">
        <f t="shared" si="2"/>
        <v>0</v>
      </c>
    </row>
    <row r="68" spans="18:18">
      <c r="R68" s="8">
        <f t="shared" si="2"/>
        <v>0</v>
      </c>
    </row>
    <row r="69" spans="18:18">
      <c r="R69" s="8">
        <f t="shared" si="2"/>
        <v>0</v>
      </c>
    </row>
    <row r="70" spans="18:18">
      <c r="R70" s="8">
        <f t="shared" si="2"/>
        <v>0</v>
      </c>
    </row>
    <row r="71" spans="18:18">
      <c r="R71" s="8">
        <f t="shared" si="2"/>
        <v>0</v>
      </c>
    </row>
    <row r="72" spans="18:18">
      <c r="R72" s="8">
        <f t="shared" si="2"/>
        <v>0</v>
      </c>
    </row>
    <row r="73" spans="18:18">
      <c r="R73" s="8">
        <f t="shared" si="2"/>
        <v>0</v>
      </c>
    </row>
    <row r="74" spans="18:18">
      <c r="R74" s="8">
        <f t="shared" si="2"/>
        <v>0</v>
      </c>
    </row>
    <row r="75" spans="18:18">
      <c r="R75" s="8">
        <f t="shared" si="2"/>
        <v>0</v>
      </c>
    </row>
    <row r="76" spans="18:18">
      <c r="R76" s="8">
        <f t="shared" si="2"/>
        <v>0</v>
      </c>
    </row>
    <row r="77" spans="18:18">
      <c r="R77" s="8">
        <f t="shared" si="2"/>
        <v>0</v>
      </c>
    </row>
    <row r="78" spans="18:18">
      <c r="R78" s="8">
        <f t="shared" si="2"/>
        <v>0</v>
      </c>
    </row>
    <row r="79" spans="18:18">
      <c r="R79" s="8">
        <f t="shared" si="2"/>
        <v>0</v>
      </c>
    </row>
    <row r="80" spans="18:18">
      <c r="R80" s="8">
        <f t="shared" si="2"/>
        <v>0</v>
      </c>
    </row>
    <row r="81" spans="18:18">
      <c r="R81" s="8">
        <f t="shared" si="2"/>
        <v>0</v>
      </c>
    </row>
    <row r="82" spans="18:18">
      <c r="R82" s="8">
        <f t="shared" si="2"/>
        <v>0</v>
      </c>
    </row>
    <row r="83" spans="18:18">
      <c r="R83" s="8">
        <f t="shared" si="2"/>
        <v>0</v>
      </c>
    </row>
    <row r="84" spans="18:18">
      <c r="R84" s="8">
        <f t="shared" si="2"/>
        <v>0</v>
      </c>
    </row>
    <row r="85" spans="18:18">
      <c r="R85" s="8">
        <f t="shared" si="2"/>
        <v>0</v>
      </c>
    </row>
    <row r="86" spans="18:18">
      <c r="R86" s="8">
        <f t="shared" si="2"/>
        <v>0</v>
      </c>
    </row>
    <row r="87" spans="18:18">
      <c r="R87" s="8">
        <f t="shared" si="2"/>
        <v>0</v>
      </c>
    </row>
    <row r="88" spans="18:18">
      <c r="R88" s="8">
        <f t="shared" si="2"/>
        <v>0</v>
      </c>
    </row>
    <row r="89" spans="18:18">
      <c r="R89" s="8">
        <f t="shared" si="2"/>
        <v>0</v>
      </c>
    </row>
    <row r="90" spans="18:18">
      <c r="R90" s="8">
        <f t="shared" si="2"/>
        <v>0</v>
      </c>
    </row>
    <row r="91" spans="18:18">
      <c r="R91" s="8">
        <f t="shared" si="2"/>
        <v>0</v>
      </c>
    </row>
    <row r="92" spans="18:18">
      <c r="R92" s="8">
        <f t="shared" si="2"/>
        <v>0</v>
      </c>
    </row>
    <row r="93" spans="18:18">
      <c r="R93" s="8">
        <f t="shared" si="2"/>
        <v>0</v>
      </c>
    </row>
    <row r="94" spans="18:18">
      <c r="R94" s="8">
        <f t="shared" si="2"/>
        <v>0</v>
      </c>
    </row>
    <row r="95" spans="18:18">
      <c r="R95" s="8">
        <f t="shared" si="2"/>
        <v>0</v>
      </c>
    </row>
    <row r="96" spans="18:18">
      <c r="R96" s="8">
        <f t="shared" si="2"/>
        <v>0</v>
      </c>
    </row>
    <row r="97" spans="18:18">
      <c r="R97" s="8">
        <f t="shared" si="2"/>
        <v>0</v>
      </c>
    </row>
    <row r="98" spans="18:18">
      <c r="R98" s="8">
        <f t="shared" ref="R98:R129" si="3">IF(O98&gt;0,(K98+L98+M98+N98)/O98,0)</f>
        <v>0</v>
      </c>
    </row>
    <row r="99" spans="18:18">
      <c r="R99" s="8">
        <f t="shared" si="3"/>
        <v>0</v>
      </c>
    </row>
    <row r="100" spans="18:18">
      <c r="R100" s="8">
        <f t="shared" si="3"/>
        <v>0</v>
      </c>
    </row>
    <row r="101" spans="18:18">
      <c r="R101" s="8">
        <f t="shared" si="3"/>
        <v>0</v>
      </c>
    </row>
    <row r="102" spans="18:18">
      <c r="R102" s="8">
        <f t="shared" si="3"/>
        <v>0</v>
      </c>
    </row>
    <row r="103" spans="18:18">
      <c r="R103" s="8">
        <f t="shared" si="3"/>
        <v>0</v>
      </c>
    </row>
    <row r="104" spans="18:18">
      <c r="R104" s="8">
        <f t="shared" si="3"/>
        <v>0</v>
      </c>
    </row>
    <row r="105" spans="18:18">
      <c r="R105" s="8">
        <f t="shared" si="3"/>
        <v>0</v>
      </c>
    </row>
    <row r="106" spans="18:18">
      <c r="R106" s="8">
        <f t="shared" si="3"/>
        <v>0</v>
      </c>
    </row>
    <row r="107" spans="18:18">
      <c r="R107" s="8">
        <f t="shared" si="3"/>
        <v>0</v>
      </c>
    </row>
    <row r="108" spans="18:18">
      <c r="R108" s="8">
        <f t="shared" si="3"/>
        <v>0</v>
      </c>
    </row>
    <row r="109" spans="18:18">
      <c r="R109" s="8">
        <f t="shared" si="3"/>
        <v>0</v>
      </c>
    </row>
    <row r="110" spans="18:18">
      <c r="R110" s="8">
        <f t="shared" si="3"/>
        <v>0</v>
      </c>
    </row>
    <row r="111" spans="18:18">
      <c r="R111" s="8">
        <f t="shared" si="3"/>
        <v>0</v>
      </c>
    </row>
    <row r="112" spans="18:18">
      <c r="R112" s="8">
        <f t="shared" si="3"/>
        <v>0</v>
      </c>
    </row>
    <row r="113" spans="18:18">
      <c r="R113" s="8">
        <f t="shared" si="3"/>
        <v>0</v>
      </c>
    </row>
    <row r="114" spans="18:18">
      <c r="R114" s="8">
        <f t="shared" si="3"/>
        <v>0</v>
      </c>
    </row>
    <row r="115" spans="18:18">
      <c r="R115" s="8">
        <f t="shared" si="3"/>
        <v>0</v>
      </c>
    </row>
    <row r="116" spans="18:18">
      <c r="R116" s="8">
        <f t="shared" si="3"/>
        <v>0</v>
      </c>
    </row>
    <row r="117" spans="18:18">
      <c r="R117" s="8">
        <f t="shared" si="3"/>
        <v>0</v>
      </c>
    </row>
    <row r="118" spans="18:18">
      <c r="R118" s="8">
        <f t="shared" si="3"/>
        <v>0</v>
      </c>
    </row>
    <row r="119" spans="18:18">
      <c r="R119" s="8">
        <f t="shared" si="3"/>
        <v>0</v>
      </c>
    </row>
    <row r="120" spans="18:18">
      <c r="R120" s="8">
        <f t="shared" si="3"/>
        <v>0</v>
      </c>
    </row>
    <row r="121" spans="18:18">
      <c r="R121" s="8">
        <f t="shared" si="3"/>
        <v>0</v>
      </c>
    </row>
    <row r="122" spans="18:18">
      <c r="R122" s="8">
        <f t="shared" si="3"/>
        <v>0</v>
      </c>
    </row>
    <row r="123" spans="18:18">
      <c r="R123" s="8">
        <f t="shared" si="3"/>
        <v>0</v>
      </c>
    </row>
    <row r="124" spans="18:18">
      <c r="R124" s="8">
        <f t="shared" si="3"/>
        <v>0</v>
      </c>
    </row>
    <row r="125" spans="18:18">
      <c r="R125" s="8">
        <f t="shared" si="3"/>
        <v>0</v>
      </c>
    </row>
    <row r="126" spans="18:18">
      <c r="R126" s="8">
        <f t="shared" si="3"/>
        <v>0</v>
      </c>
    </row>
    <row r="127" spans="18:18">
      <c r="R127" s="8">
        <f t="shared" si="3"/>
        <v>0</v>
      </c>
    </row>
    <row r="128" spans="18:18">
      <c r="R128" s="8">
        <f t="shared" si="3"/>
        <v>0</v>
      </c>
    </row>
    <row r="129" spans="18:18">
      <c r="R129" s="8">
        <f t="shared" si="3"/>
        <v>0</v>
      </c>
    </row>
    <row r="130" spans="18:18">
      <c r="R130" s="8">
        <f t="shared" ref="R130:R161" si="4">IF(O130&gt;0,(K130+L130+M130+N130)/O130,0)</f>
        <v>0</v>
      </c>
    </row>
    <row r="131" spans="18:18">
      <c r="R131" s="8">
        <f t="shared" si="4"/>
        <v>0</v>
      </c>
    </row>
    <row r="132" spans="18:18">
      <c r="R132" s="8">
        <f t="shared" si="4"/>
        <v>0</v>
      </c>
    </row>
    <row r="133" spans="18:18">
      <c r="R133" s="8">
        <f t="shared" si="4"/>
        <v>0</v>
      </c>
    </row>
    <row r="134" spans="18:18">
      <c r="R134" s="8">
        <f t="shared" si="4"/>
        <v>0</v>
      </c>
    </row>
    <row r="135" spans="18:18">
      <c r="R135" s="8">
        <f t="shared" si="4"/>
        <v>0</v>
      </c>
    </row>
    <row r="136" spans="18:18">
      <c r="R136" s="8">
        <f t="shared" si="4"/>
        <v>0</v>
      </c>
    </row>
    <row r="137" spans="18:18">
      <c r="R137" s="8">
        <f t="shared" si="4"/>
        <v>0</v>
      </c>
    </row>
    <row r="138" spans="18:18">
      <c r="R138" s="8">
        <f t="shared" si="4"/>
        <v>0</v>
      </c>
    </row>
    <row r="139" spans="18:18">
      <c r="R139" s="8">
        <f t="shared" si="4"/>
        <v>0</v>
      </c>
    </row>
    <row r="140" spans="18:18">
      <c r="R140" s="8">
        <f t="shared" si="4"/>
        <v>0</v>
      </c>
    </row>
    <row r="141" spans="18:18">
      <c r="R141" s="8">
        <f t="shared" si="4"/>
        <v>0</v>
      </c>
    </row>
    <row r="142" spans="18:18">
      <c r="R142" s="8">
        <f t="shared" si="4"/>
        <v>0</v>
      </c>
    </row>
    <row r="143" spans="18:18">
      <c r="R143" s="8">
        <f t="shared" si="4"/>
        <v>0</v>
      </c>
    </row>
    <row r="144" spans="18:18">
      <c r="R144" s="8">
        <f t="shared" si="4"/>
        <v>0</v>
      </c>
    </row>
    <row r="145" spans="18:18">
      <c r="R145" s="8">
        <f t="shared" si="4"/>
        <v>0</v>
      </c>
    </row>
    <row r="146" spans="18:18">
      <c r="R146" s="8">
        <f t="shared" si="4"/>
        <v>0</v>
      </c>
    </row>
    <row r="147" spans="18:18">
      <c r="R147" s="8">
        <f t="shared" si="4"/>
        <v>0</v>
      </c>
    </row>
    <row r="148" spans="18:18">
      <c r="R148" s="8">
        <f t="shared" si="4"/>
        <v>0</v>
      </c>
    </row>
    <row r="149" spans="18:18">
      <c r="R149" s="8">
        <f t="shared" si="4"/>
        <v>0</v>
      </c>
    </row>
    <row r="150" spans="18:18">
      <c r="R150" s="8">
        <f t="shared" si="4"/>
        <v>0</v>
      </c>
    </row>
    <row r="151" spans="18:18">
      <c r="R151" s="8">
        <f t="shared" si="4"/>
        <v>0</v>
      </c>
    </row>
    <row r="152" spans="18:18">
      <c r="R152" s="8">
        <f t="shared" si="4"/>
        <v>0</v>
      </c>
    </row>
    <row r="153" spans="18:18">
      <c r="R153" s="8">
        <f t="shared" si="4"/>
        <v>0</v>
      </c>
    </row>
    <row r="154" spans="18:18">
      <c r="R154" s="8">
        <f t="shared" si="4"/>
        <v>0</v>
      </c>
    </row>
    <row r="155" spans="18:18">
      <c r="R155" s="8">
        <f t="shared" si="4"/>
        <v>0</v>
      </c>
    </row>
    <row r="156" spans="18:18">
      <c r="R156" s="8">
        <f t="shared" si="4"/>
        <v>0</v>
      </c>
    </row>
    <row r="157" spans="18:18">
      <c r="R157" s="8">
        <f t="shared" si="4"/>
        <v>0</v>
      </c>
    </row>
    <row r="158" spans="18:18">
      <c r="R158" s="8">
        <f t="shared" si="4"/>
        <v>0</v>
      </c>
    </row>
    <row r="159" spans="18:18">
      <c r="R159" s="8">
        <f t="shared" si="4"/>
        <v>0</v>
      </c>
    </row>
    <row r="160" spans="18:18">
      <c r="R160" s="8">
        <f t="shared" si="4"/>
        <v>0</v>
      </c>
    </row>
    <row r="161" spans="18:18">
      <c r="R161" s="8">
        <f t="shared" si="4"/>
        <v>0</v>
      </c>
    </row>
    <row r="162" spans="18:18">
      <c r="R162" s="8">
        <f t="shared" ref="R162:R193" si="5">IF(O162&gt;0,(K162+L162+M162+N162)/O162,0)</f>
        <v>0</v>
      </c>
    </row>
    <row r="163" spans="18:18">
      <c r="R163" s="8">
        <f t="shared" si="5"/>
        <v>0</v>
      </c>
    </row>
    <row r="164" spans="18:18">
      <c r="R164" s="8">
        <f t="shared" si="5"/>
        <v>0</v>
      </c>
    </row>
    <row r="165" spans="18:18">
      <c r="R165" s="8">
        <f t="shared" si="5"/>
        <v>0</v>
      </c>
    </row>
    <row r="166" spans="18:18">
      <c r="R166" s="8">
        <f t="shared" si="5"/>
        <v>0</v>
      </c>
    </row>
    <row r="167" spans="18:18">
      <c r="R167" s="8">
        <f t="shared" si="5"/>
        <v>0</v>
      </c>
    </row>
    <row r="168" spans="18:18">
      <c r="R168" s="8">
        <f t="shared" si="5"/>
        <v>0</v>
      </c>
    </row>
    <row r="169" spans="18:18">
      <c r="R169" s="8">
        <f t="shared" si="5"/>
        <v>0</v>
      </c>
    </row>
    <row r="170" spans="18:18">
      <c r="R170" s="8">
        <f t="shared" si="5"/>
        <v>0</v>
      </c>
    </row>
    <row r="171" spans="18:18">
      <c r="R171" s="8">
        <f t="shared" si="5"/>
        <v>0</v>
      </c>
    </row>
    <row r="172" spans="18:18">
      <c r="R172" s="8">
        <f t="shared" si="5"/>
        <v>0</v>
      </c>
    </row>
    <row r="173" spans="18:18">
      <c r="R173" s="8">
        <f t="shared" si="5"/>
        <v>0</v>
      </c>
    </row>
    <row r="174" spans="18:18">
      <c r="R174" s="8">
        <f t="shared" si="5"/>
        <v>0</v>
      </c>
    </row>
    <row r="175" spans="18:18">
      <c r="R175" s="8">
        <f t="shared" si="5"/>
        <v>0</v>
      </c>
    </row>
    <row r="176" spans="18:18">
      <c r="R176" s="8">
        <f t="shared" si="5"/>
        <v>0</v>
      </c>
    </row>
    <row r="177" spans="18:18">
      <c r="R177" s="8">
        <f t="shared" si="5"/>
        <v>0</v>
      </c>
    </row>
    <row r="178" spans="18:18">
      <c r="R178" s="8">
        <f t="shared" si="5"/>
        <v>0</v>
      </c>
    </row>
    <row r="179" spans="18:18">
      <c r="R179" s="8">
        <f t="shared" si="5"/>
        <v>0</v>
      </c>
    </row>
    <row r="180" spans="18:18">
      <c r="R180" s="8">
        <f t="shared" si="5"/>
        <v>0</v>
      </c>
    </row>
    <row r="181" spans="18:18">
      <c r="R181" s="8">
        <f t="shared" si="5"/>
        <v>0</v>
      </c>
    </row>
    <row r="182" spans="18:18">
      <c r="R182" s="8">
        <f t="shared" si="5"/>
        <v>0</v>
      </c>
    </row>
    <row r="183" spans="18:18">
      <c r="R183" s="8">
        <f t="shared" si="5"/>
        <v>0</v>
      </c>
    </row>
    <row r="184" spans="18:18">
      <c r="R184" s="8">
        <f t="shared" si="5"/>
        <v>0</v>
      </c>
    </row>
    <row r="185" spans="18:18">
      <c r="R185" s="8">
        <f t="shared" si="5"/>
        <v>0</v>
      </c>
    </row>
    <row r="186" spans="18:18">
      <c r="R186" s="8">
        <f t="shared" si="5"/>
        <v>0</v>
      </c>
    </row>
    <row r="187" spans="18:18">
      <c r="R187" s="8">
        <f t="shared" si="5"/>
        <v>0</v>
      </c>
    </row>
    <row r="188" spans="18:18">
      <c r="R188" s="8">
        <f t="shared" si="5"/>
        <v>0</v>
      </c>
    </row>
    <row r="189" spans="18:18">
      <c r="R189" s="8">
        <f t="shared" si="5"/>
        <v>0</v>
      </c>
    </row>
    <row r="190" spans="18:18">
      <c r="R190" s="8">
        <f t="shared" si="5"/>
        <v>0</v>
      </c>
    </row>
    <row r="191" spans="18:18">
      <c r="R191" s="8">
        <f t="shared" si="5"/>
        <v>0</v>
      </c>
    </row>
    <row r="192" spans="18:18">
      <c r="R192" s="8">
        <f t="shared" si="5"/>
        <v>0</v>
      </c>
    </row>
    <row r="193" spans="18:18">
      <c r="R193" s="8">
        <f t="shared" si="5"/>
        <v>0</v>
      </c>
    </row>
    <row r="194" spans="18:18">
      <c r="R194" s="8">
        <f t="shared" ref="R194:R200" si="6">IF(O194&gt;0,(K194+L194+M194+N194)/O194,0)</f>
        <v>0</v>
      </c>
    </row>
    <row r="195" spans="18:18">
      <c r="R195" s="8">
        <f t="shared" si="6"/>
        <v>0</v>
      </c>
    </row>
    <row r="196" spans="18:18">
      <c r="R196" s="8">
        <f t="shared" si="6"/>
        <v>0</v>
      </c>
    </row>
    <row r="197" spans="18:18">
      <c r="R197" s="8">
        <f t="shared" si="6"/>
        <v>0</v>
      </c>
    </row>
    <row r="198" spans="18:18">
      <c r="R198" s="8">
        <f t="shared" si="6"/>
        <v>0</v>
      </c>
    </row>
    <row r="199" spans="18:18">
      <c r="R199" s="8">
        <f t="shared" si="6"/>
        <v>0</v>
      </c>
    </row>
    <row r="200" spans="18:18">
      <c r="R200" s="8">
        <f t="shared" si="6"/>
        <v>0</v>
      </c>
    </row>
  </sheetData>
  <dataValidations count="2">
    <dataValidation type="list" sqref="I2:I200" xr:uid="{00000000-0002-0000-0400-000001000000}">
      <formula1>"none,soft,medium,direct"</formula1>
    </dataValidation>
    <dataValidation type="list" sqref="W2:W200" xr:uid="{00000000-0002-0000-0400-000002000000}">
      <formula1>"draft,published,reported,archived"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Platform_Library!$A$2:$A$100</xm:f>
          </x14:formula1>
          <xm:sqref>D2:D200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"/>
  <sheetViews>
    <sheetView workbookViewId="0">
      <selection activeCell="G7" sqref="G7"/>
    </sheetView>
  </sheetViews>
  <sheetFormatPr baseColWidth="10" defaultColWidth="8.83203125" defaultRowHeight="15"/>
  <cols>
    <col min="1" max="1" width="28" customWidth="1"/>
    <col min="2" max="2" width="18" customWidth="1"/>
    <col min="3" max="3" width="28" customWidth="1"/>
    <col min="4" max="4" width="14" customWidth="1"/>
    <col min="5" max="5" width="22" customWidth="1"/>
    <col min="6" max="6" width="14" customWidth="1"/>
    <col min="7" max="7" width="42" customWidth="1"/>
    <col min="8" max="9" width="28" customWidth="1"/>
    <col min="10" max="10" width="48" customWidth="1"/>
    <col min="11" max="11" width="58" customWidth="1"/>
    <col min="12" max="13" width="48" customWidth="1"/>
    <col min="14" max="14" width="24" customWidth="1"/>
    <col min="15" max="15" width="52" customWidth="1"/>
    <col min="16" max="16" width="22" customWidth="1"/>
    <col min="17" max="17" width="34" customWidth="1"/>
    <col min="18" max="18" width="48" customWidth="1"/>
    <col min="19" max="19" width="14" customWidth="1"/>
  </cols>
  <sheetData>
    <row r="1" spans="1:19" ht="45.25" customHeight="1">
      <c r="A1" s="3" t="s">
        <v>173</v>
      </c>
      <c r="B1" s="3" t="s">
        <v>174</v>
      </c>
      <c r="C1" s="5" t="s">
        <v>94</v>
      </c>
      <c r="D1" s="5" t="s">
        <v>54</v>
      </c>
      <c r="E1" s="5" t="s">
        <v>95</v>
      </c>
      <c r="F1" s="5" t="s">
        <v>96</v>
      </c>
      <c r="G1" s="3" t="s">
        <v>97</v>
      </c>
      <c r="H1" s="3" t="s">
        <v>175</v>
      </c>
      <c r="I1" s="6" t="s">
        <v>103</v>
      </c>
      <c r="J1" s="6" t="s">
        <v>176</v>
      </c>
      <c r="K1" s="6" t="s">
        <v>177</v>
      </c>
      <c r="L1" s="6" t="s">
        <v>178</v>
      </c>
      <c r="M1" s="6" t="s">
        <v>179</v>
      </c>
      <c r="N1" s="6" t="s">
        <v>180</v>
      </c>
      <c r="O1" s="6" t="s">
        <v>181</v>
      </c>
      <c r="P1" s="6" t="s">
        <v>182</v>
      </c>
      <c r="Q1" s="6" t="s">
        <v>183</v>
      </c>
      <c r="R1" s="3" t="s">
        <v>184</v>
      </c>
      <c r="S1" s="3" t="s">
        <v>38</v>
      </c>
    </row>
    <row r="2" spans="1:19" ht="64" customHeight="1">
      <c r="A2" s="1" t="s">
        <v>185</v>
      </c>
      <c r="B2" s="1" t="s">
        <v>164</v>
      </c>
      <c r="C2" s="1" t="s">
        <v>50</v>
      </c>
      <c r="D2" s="1" t="s">
        <v>69</v>
      </c>
      <c r="E2" s="1" t="s">
        <v>125</v>
      </c>
      <c r="F2" s="1" t="s">
        <v>126</v>
      </c>
      <c r="G2" s="1" t="s">
        <v>455</v>
      </c>
      <c r="H2" s="1"/>
      <c r="I2" s="1" t="s">
        <v>131</v>
      </c>
      <c r="J2" s="1" t="s">
        <v>186</v>
      </c>
      <c r="K2" s="1" t="s">
        <v>187</v>
      </c>
      <c r="L2" s="1" t="s">
        <v>188</v>
      </c>
      <c r="M2" s="1" t="s">
        <v>189</v>
      </c>
      <c r="N2" s="1" t="s">
        <v>132</v>
      </c>
      <c r="O2" s="1" t="s">
        <v>190</v>
      </c>
      <c r="P2" s="1">
        <v>5</v>
      </c>
      <c r="Q2" s="1" t="s">
        <v>139</v>
      </c>
      <c r="R2" s="1" t="s">
        <v>191</v>
      </c>
      <c r="S2" s="1" t="s">
        <v>172</v>
      </c>
    </row>
  </sheetData>
  <dataValidations count="2">
    <dataValidation type="list" sqref="H2:I200" xr:uid="{00000000-0002-0000-0500-000002000000}">
      <formula1>"new_page,low_content_page,inconsistent_page,growing_page,active_page,warm_audience_page"</formula1>
    </dataValidation>
    <dataValidation type="list" sqref="S2:S200" xr:uid="{00000000-0002-0000-0500-000003000000}">
      <formula1>"draft,done,reviewed"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Niche_Library!$A$2:$A$100</xm:f>
          </x14:formula1>
          <xm:sqref>E2:E200</xm:sqref>
        </x14:dataValidation>
        <x14:dataValidation type="list" xr:uid="{00000000-0002-0000-0500-000001000000}">
          <x14:formula1>
            <xm:f>Platform_Library!$A$2:$A$100</xm:f>
          </x14:formula1>
          <xm:sqref>F2:F200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workbookViewId="0">
      <selection activeCell="C3" sqref="C3"/>
    </sheetView>
  </sheetViews>
  <sheetFormatPr baseColWidth="10" defaultColWidth="8.83203125" defaultRowHeight="15"/>
  <cols>
    <col min="1" max="1" width="16" customWidth="1"/>
    <col min="2" max="2" width="20" customWidth="1"/>
    <col min="3" max="3" width="38" customWidth="1"/>
    <col min="4" max="4" width="34" customWidth="1"/>
    <col min="5" max="5" width="38" customWidth="1"/>
    <col min="6" max="6" width="24" customWidth="1"/>
    <col min="7" max="7" width="30" customWidth="1"/>
    <col min="8" max="8" width="60" customWidth="1"/>
  </cols>
  <sheetData>
    <row r="1" spans="1:8" ht="45.25" customHeight="1">
      <c r="A1" s="5" t="s">
        <v>96</v>
      </c>
      <c r="B1" s="9" t="s">
        <v>192</v>
      </c>
      <c r="C1" s="9" t="s">
        <v>193</v>
      </c>
      <c r="D1" s="9" t="s">
        <v>194</v>
      </c>
      <c r="E1" s="9" t="s">
        <v>195</v>
      </c>
      <c r="F1" s="9" t="s">
        <v>196</v>
      </c>
      <c r="G1" s="9" t="s">
        <v>197</v>
      </c>
      <c r="H1" s="9" t="s">
        <v>39</v>
      </c>
    </row>
    <row r="2" spans="1:8" ht="64" customHeight="1">
      <c r="A2" s="1" t="s">
        <v>126</v>
      </c>
      <c r="B2" s="1" t="s">
        <v>198</v>
      </c>
      <c r="C2" s="1" t="s">
        <v>199</v>
      </c>
      <c r="D2" s="1" t="s">
        <v>200</v>
      </c>
      <c r="E2" s="1" t="s">
        <v>201</v>
      </c>
      <c r="F2" s="1" t="s">
        <v>202</v>
      </c>
      <c r="G2" s="1" t="s">
        <v>203</v>
      </c>
      <c r="H2" s="1" t="s">
        <v>204</v>
      </c>
    </row>
    <row r="3" spans="1:8" ht="64" customHeight="1">
      <c r="A3" s="1" t="s">
        <v>205</v>
      </c>
      <c r="B3" s="1" t="s">
        <v>206</v>
      </c>
      <c r="C3" s="1" t="s">
        <v>207</v>
      </c>
      <c r="D3" s="1" t="s">
        <v>208</v>
      </c>
      <c r="E3" s="1" t="s">
        <v>209</v>
      </c>
      <c r="F3" s="1" t="s">
        <v>210</v>
      </c>
      <c r="G3" s="1" t="s">
        <v>211</v>
      </c>
      <c r="H3" s="1" t="s">
        <v>212</v>
      </c>
    </row>
    <row r="4" spans="1:8" ht="64" customHeight="1">
      <c r="A4" s="1" t="s">
        <v>213</v>
      </c>
      <c r="B4" s="1" t="s">
        <v>214</v>
      </c>
      <c r="C4" s="1" t="s">
        <v>215</v>
      </c>
      <c r="D4" s="1" t="s">
        <v>216</v>
      </c>
      <c r="E4" s="1" t="s">
        <v>217</v>
      </c>
      <c r="F4" s="1" t="s">
        <v>218</v>
      </c>
      <c r="G4" s="1" t="s">
        <v>219</v>
      </c>
      <c r="H4" s="1" t="s">
        <v>220</v>
      </c>
    </row>
    <row r="5" spans="1:8" ht="64" customHeight="1">
      <c r="A5" s="1" t="s">
        <v>221</v>
      </c>
      <c r="B5" s="1" t="s">
        <v>222</v>
      </c>
      <c r="C5" s="1" t="s">
        <v>223</v>
      </c>
      <c r="D5" s="1" t="s">
        <v>224</v>
      </c>
      <c r="E5" s="1" t="s">
        <v>225</v>
      </c>
      <c r="F5" s="1" t="s">
        <v>218</v>
      </c>
      <c r="G5" s="1" t="s">
        <v>226</v>
      </c>
      <c r="H5" s="1" t="s">
        <v>227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"/>
  <sheetViews>
    <sheetView workbookViewId="0">
      <selection activeCell="A4" sqref="A4"/>
    </sheetView>
  </sheetViews>
  <sheetFormatPr baseColWidth="10" defaultColWidth="8.83203125" defaultRowHeight="15"/>
  <cols>
    <col min="1" max="2" width="24" customWidth="1"/>
    <col min="3" max="3" width="20" customWidth="1"/>
    <col min="4" max="4" width="42" customWidth="1"/>
    <col min="5" max="5" width="44" customWidth="1"/>
    <col min="6" max="8" width="50" customWidth="1"/>
    <col min="9" max="9" width="46" customWidth="1"/>
    <col min="10" max="10" width="58" customWidth="1"/>
  </cols>
  <sheetData>
    <row r="1" spans="1:10" ht="45.25" customHeight="1">
      <c r="A1" s="5" t="s">
        <v>95</v>
      </c>
      <c r="B1" s="9" t="s">
        <v>228</v>
      </c>
      <c r="C1" s="9" t="s">
        <v>229</v>
      </c>
      <c r="D1" s="9" t="s">
        <v>230</v>
      </c>
      <c r="E1" s="9" t="s">
        <v>231</v>
      </c>
      <c r="F1" s="9" t="s">
        <v>232</v>
      </c>
      <c r="G1" s="9" t="s">
        <v>233</v>
      </c>
      <c r="H1" s="9" t="s">
        <v>234</v>
      </c>
      <c r="I1" s="9" t="s">
        <v>123</v>
      </c>
      <c r="J1" s="9" t="s">
        <v>39</v>
      </c>
    </row>
    <row r="2" spans="1:10" ht="64" customHeight="1">
      <c r="A2" s="1" t="s">
        <v>125</v>
      </c>
      <c r="B2" s="1" t="s">
        <v>235</v>
      </c>
      <c r="C2" s="1" t="s">
        <v>236</v>
      </c>
      <c r="D2" s="1" t="s">
        <v>237</v>
      </c>
      <c r="E2" s="1" t="s">
        <v>238</v>
      </c>
      <c r="F2" s="1" t="s">
        <v>239</v>
      </c>
      <c r="G2" s="1" t="s">
        <v>240</v>
      </c>
      <c r="H2" s="1" t="s">
        <v>241</v>
      </c>
      <c r="I2" s="1" t="s">
        <v>242</v>
      </c>
      <c r="J2" s="1" t="s">
        <v>243</v>
      </c>
    </row>
    <row r="3" spans="1:10" ht="64" customHeight="1">
      <c r="A3" s="1" t="s">
        <v>244</v>
      </c>
      <c r="B3" s="1" t="s">
        <v>245</v>
      </c>
      <c r="C3" s="1" t="s">
        <v>246</v>
      </c>
      <c r="D3" s="1" t="s">
        <v>247</v>
      </c>
      <c r="E3" s="1" t="s">
        <v>248</v>
      </c>
      <c r="F3" s="1" t="s">
        <v>249</v>
      </c>
      <c r="G3" s="1" t="s">
        <v>250</v>
      </c>
      <c r="H3" s="1" t="s">
        <v>251</v>
      </c>
      <c r="I3" s="1" t="s">
        <v>252</v>
      </c>
      <c r="J3" s="1" t="s">
        <v>253</v>
      </c>
    </row>
    <row r="4" spans="1:10" ht="64" customHeight="1">
      <c r="A4" s="1" t="s">
        <v>254</v>
      </c>
      <c r="B4" s="1" t="s">
        <v>255</v>
      </c>
      <c r="C4" s="1" t="s">
        <v>256</v>
      </c>
      <c r="D4" s="1" t="s">
        <v>257</v>
      </c>
      <c r="E4" s="1" t="s">
        <v>258</v>
      </c>
      <c r="F4" s="1" t="s">
        <v>259</v>
      </c>
      <c r="G4" s="1" t="s">
        <v>260</v>
      </c>
      <c r="H4" s="1" t="s">
        <v>261</v>
      </c>
      <c r="I4" s="1" t="s">
        <v>262</v>
      </c>
      <c r="J4" s="1" t="s">
        <v>263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tabSelected="1" workbookViewId="0">
      <selection activeCell="I9" sqref="I9"/>
    </sheetView>
  </sheetViews>
  <sheetFormatPr baseColWidth="10" defaultColWidth="8.83203125" defaultRowHeight="15"/>
  <cols>
    <col min="1" max="1" width="22" customWidth="1"/>
    <col min="2" max="3" width="24" customWidth="1"/>
    <col min="4" max="4" width="44" customWidth="1"/>
    <col min="5" max="5" width="34" customWidth="1"/>
  </cols>
  <sheetData>
    <row r="1" spans="1:5" ht="45.25" customHeight="1">
      <c r="A1" s="9" t="s">
        <v>264</v>
      </c>
      <c r="B1" s="9" t="s">
        <v>265</v>
      </c>
      <c r="C1" s="9" t="s">
        <v>266</v>
      </c>
      <c r="D1" s="9" t="s">
        <v>267</v>
      </c>
      <c r="E1" s="9" t="s">
        <v>268</v>
      </c>
    </row>
    <row r="2" spans="1:5" ht="64" customHeight="1">
      <c r="A2" s="1" t="s">
        <v>269</v>
      </c>
      <c r="B2" s="1" t="s">
        <v>270</v>
      </c>
      <c r="C2" s="1" t="s">
        <v>271</v>
      </c>
      <c r="D2" s="1" t="s">
        <v>272</v>
      </c>
      <c r="E2" s="1" t="s">
        <v>273</v>
      </c>
    </row>
    <row r="3" spans="1:5" ht="64" customHeight="1">
      <c r="A3" s="1" t="s">
        <v>274</v>
      </c>
      <c r="B3" s="1" t="s">
        <v>275</v>
      </c>
      <c r="C3" s="1" t="s">
        <v>276</v>
      </c>
      <c r="D3" s="1" t="s">
        <v>277</v>
      </c>
      <c r="E3" s="1" t="s">
        <v>278</v>
      </c>
    </row>
    <row r="4" spans="1:5" ht="64" customHeight="1">
      <c r="A4" s="1" t="s">
        <v>279</v>
      </c>
      <c r="B4" s="1" t="s">
        <v>280</v>
      </c>
      <c r="C4" s="1" t="s">
        <v>281</v>
      </c>
      <c r="D4" s="1" t="s">
        <v>282</v>
      </c>
      <c r="E4" s="1" t="s">
        <v>283</v>
      </c>
    </row>
    <row r="5" spans="1:5" ht="64" customHeight="1">
      <c r="A5" s="1" t="s">
        <v>284</v>
      </c>
      <c r="B5" s="1" t="s">
        <v>285</v>
      </c>
      <c r="C5" s="1" t="s">
        <v>276</v>
      </c>
      <c r="D5" s="1" t="s">
        <v>286</v>
      </c>
      <c r="E5" s="1" t="s">
        <v>287</v>
      </c>
    </row>
    <row r="6" spans="1:5" ht="64" customHeight="1">
      <c r="A6" s="1" t="s">
        <v>288</v>
      </c>
      <c r="B6" s="1" t="s">
        <v>289</v>
      </c>
      <c r="C6" s="1" t="s">
        <v>290</v>
      </c>
      <c r="D6" s="1" t="s">
        <v>291</v>
      </c>
      <c r="E6" s="1" t="s">
        <v>292</v>
      </c>
    </row>
    <row r="7" spans="1:5" ht="64" customHeight="1">
      <c r="A7" s="1" t="s">
        <v>293</v>
      </c>
      <c r="B7" s="1" t="s">
        <v>294</v>
      </c>
      <c r="C7" s="1" t="s">
        <v>52</v>
      </c>
      <c r="D7" s="1" t="s">
        <v>295</v>
      </c>
      <c r="E7" s="1" t="s">
        <v>296</v>
      </c>
    </row>
    <row r="8" spans="1:5" ht="64" customHeight="1">
      <c r="A8" s="1" t="s">
        <v>297</v>
      </c>
      <c r="B8" s="1" t="s">
        <v>298</v>
      </c>
      <c r="C8" s="1" t="s">
        <v>299</v>
      </c>
      <c r="D8" s="1" t="s">
        <v>300</v>
      </c>
      <c r="E8" s="1" t="s">
        <v>301</v>
      </c>
    </row>
    <row r="9" spans="1:5" ht="64" customHeight="1">
      <c r="A9" s="1" t="s">
        <v>302</v>
      </c>
      <c r="B9" s="1" t="s">
        <v>303</v>
      </c>
      <c r="C9" s="1" t="s">
        <v>290</v>
      </c>
      <c r="D9" s="1" t="s">
        <v>304</v>
      </c>
      <c r="E9" s="1" t="s">
        <v>305</v>
      </c>
    </row>
    <row r="10" spans="1:5" ht="64" customHeight="1">
      <c r="A10" s="1" t="s">
        <v>306</v>
      </c>
      <c r="B10" s="1" t="s">
        <v>307</v>
      </c>
      <c r="C10" s="1" t="s">
        <v>308</v>
      </c>
      <c r="D10" s="1" t="s">
        <v>309</v>
      </c>
      <c r="E10" s="1" t="s">
        <v>310</v>
      </c>
    </row>
    <row r="11" spans="1:5" ht="64" customHeight="1">
      <c r="A11" s="1" t="s">
        <v>311</v>
      </c>
      <c r="B11" s="1" t="s">
        <v>312</v>
      </c>
      <c r="C11" s="1" t="s">
        <v>313</v>
      </c>
      <c r="D11" s="1" t="s">
        <v>314</v>
      </c>
      <c r="E11" s="1" t="s">
        <v>315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"/>
  <sheetViews>
    <sheetView workbookViewId="0"/>
  </sheetViews>
  <sheetFormatPr baseColWidth="10" defaultColWidth="8.83203125" defaultRowHeight="15"/>
  <cols>
    <col min="1" max="1" width="28" customWidth="1"/>
    <col min="2" max="2" width="42" customWidth="1"/>
    <col min="3" max="3" width="28" customWidth="1"/>
    <col min="4" max="4" width="32" customWidth="1"/>
    <col min="5" max="5" width="58" customWidth="1"/>
  </cols>
  <sheetData>
    <row r="1" spans="1:5" ht="45.25" customHeight="1">
      <c r="A1" s="5" t="s">
        <v>58</v>
      </c>
      <c r="B1" s="9" t="s">
        <v>267</v>
      </c>
      <c r="C1" s="9" t="s">
        <v>266</v>
      </c>
      <c r="D1" s="9" t="s">
        <v>316</v>
      </c>
      <c r="E1" s="9" t="s">
        <v>39</v>
      </c>
    </row>
    <row r="2" spans="1:5" ht="64" customHeight="1">
      <c r="A2" s="1" t="s">
        <v>73</v>
      </c>
      <c r="B2" s="1" t="s">
        <v>317</v>
      </c>
      <c r="C2" s="1" t="s">
        <v>318</v>
      </c>
      <c r="D2" s="1" t="s">
        <v>75</v>
      </c>
      <c r="E2" s="1" t="s">
        <v>319</v>
      </c>
    </row>
    <row r="3" spans="1:5" ht="64" customHeight="1">
      <c r="A3" s="1" t="s">
        <v>85</v>
      </c>
      <c r="B3" s="1" t="s">
        <v>320</v>
      </c>
      <c r="C3" s="1" t="s">
        <v>321</v>
      </c>
      <c r="D3" s="1" t="s">
        <v>87</v>
      </c>
      <c r="E3" s="1" t="s">
        <v>322</v>
      </c>
    </row>
    <row r="4" spans="1:5" ht="64" customHeight="1">
      <c r="A4" s="1" t="s">
        <v>323</v>
      </c>
      <c r="B4" s="1" t="s">
        <v>324</v>
      </c>
      <c r="C4" s="1" t="s">
        <v>325</v>
      </c>
      <c r="D4" s="1" t="s">
        <v>326</v>
      </c>
      <c r="E4" s="1" t="s">
        <v>327</v>
      </c>
    </row>
    <row r="5" spans="1:5" ht="64" customHeight="1">
      <c r="A5" s="1" t="s">
        <v>328</v>
      </c>
      <c r="B5" s="1" t="s">
        <v>329</v>
      </c>
      <c r="C5" s="1" t="s">
        <v>330</v>
      </c>
      <c r="D5" s="1" t="s">
        <v>331</v>
      </c>
      <c r="E5" s="1" t="s">
        <v>332</v>
      </c>
    </row>
    <row r="6" spans="1:5" ht="64" customHeight="1">
      <c r="A6" s="1" t="s">
        <v>333</v>
      </c>
      <c r="B6" s="1" t="s">
        <v>334</v>
      </c>
      <c r="C6" s="1" t="s">
        <v>335</v>
      </c>
      <c r="D6" s="1" t="s">
        <v>336</v>
      </c>
      <c r="E6" s="1" t="s">
        <v>337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"/>
  <sheetViews>
    <sheetView workbookViewId="0"/>
  </sheetViews>
  <sheetFormatPr baseColWidth="10" defaultColWidth="8.83203125" defaultRowHeight="15"/>
  <cols>
    <col min="1" max="1" width="24" customWidth="1"/>
    <col min="2" max="2" width="42" customWidth="1"/>
    <col min="3" max="3" width="78" customWidth="1"/>
    <col min="4" max="4" width="30" customWidth="1"/>
  </cols>
  <sheetData>
    <row r="1" spans="1:4" ht="45.25" customHeight="1">
      <c r="A1" s="5" t="s">
        <v>338</v>
      </c>
      <c r="B1" s="9" t="s">
        <v>267</v>
      </c>
      <c r="C1" s="9" t="s">
        <v>339</v>
      </c>
      <c r="D1" s="9" t="s">
        <v>266</v>
      </c>
    </row>
    <row r="2" spans="1:4" ht="64" customHeight="1">
      <c r="A2" s="1" t="s">
        <v>75</v>
      </c>
      <c r="B2" s="1" t="s">
        <v>340</v>
      </c>
      <c r="C2" s="1" t="s">
        <v>341</v>
      </c>
      <c r="D2" s="1" t="s">
        <v>342</v>
      </c>
    </row>
    <row r="3" spans="1:4" ht="64" customHeight="1">
      <c r="A3" s="1" t="s">
        <v>87</v>
      </c>
      <c r="B3" s="1" t="s">
        <v>343</v>
      </c>
      <c r="C3" s="1" t="s">
        <v>344</v>
      </c>
      <c r="D3" s="1" t="s">
        <v>345</v>
      </c>
    </row>
    <row r="4" spans="1:4" ht="64" customHeight="1">
      <c r="A4" s="1" t="s">
        <v>336</v>
      </c>
      <c r="B4" s="1" t="s">
        <v>346</v>
      </c>
      <c r="C4" s="1" t="s">
        <v>347</v>
      </c>
      <c r="D4" s="1" t="s">
        <v>348</v>
      </c>
    </row>
    <row r="5" spans="1:4" ht="64" customHeight="1">
      <c r="A5" s="1" t="s">
        <v>326</v>
      </c>
      <c r="B5" s="1" t="s">
        <v>349</v>
      </c>
      <c r="C5" s="1" t="s">
        <v>350</v>
      </c>
      <c r="D5" s="1" t="s">
        <v>351</v>
      </c>
    </row>
    <row r="6" spans="1:4" ht="64" customHeight="1">
      <c r="A6" s="1" t="s">
        <v>331</v>
      </c>
      <c r="B6" s="1" t="s">
        <v>352</v>
      </c>
      <c r="C6" s="1" t="s">
        <v>353</v>
      </c>
      <c r="D6" s="1" t="s">
        <v>354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5"/>
  <sheetViews>
    <sheetView topLeftCell="A5" workbookViewId="0"/>
  </sheetViews>
  <sheetFormatPr baseColWidth="10" defaultColWidth="8.83203125" defaultRowHeight="15"/>
  <cols>
    <col min="1" max="1" width="28" customWidth="1"/>
    <col min="2" max="2" width="30" customWidth="1"/>
    <col min="3" max="3" width="60" customWidth="1"/>
  </cols>
  <sheetData>
    <row r="1" spans="1:3" ht="45.25" customHeight="1">
      <c r="A1" s="9" t="s">
        <v>355</v>
      </c>
      <c r="B1" s="9" t="s">
        <v>356</v>
      </c>
      <c r="C1" s="9" t="s">
        <v>39</v>
      </c>
    </row>
    <row r="2" spans="1:3" ht="64" customHeight="1">
      <c r="A2" s="1" t="s">
        <v>357</v>
      </c>
      <c r="B2" s="1" t="s">
        <v>92</v>
      </c>
      <c r="C2" s="1" t="s">
        <v>358</v>
      </c>
    </row>
    <row r="3" spans="1:3" ht="64" customHeight="1">
      <c r="A3" s="1" t="s">
        <v>357</v>
      </c>
      <c r="B3" s="1" t="s">
        <v>45</v>
      </c>
      <c r="C3" s="1" t="s">
        <v>359</v>
      </c>
    </row>
    <row r="4" spans="1:3" ht="64" customHeight="1">
      <c r="A4" s="1" t="s">
        <v>357</v>
      </c>
      <c r="B4" s="1" t="s">
        <v>360</v>
      </c>
      <c r="C4" s="1" t="s">
        <v>361</v>
      </c>
    </row>
    <row r="5" spans="1:3" ht="64" customHeight="1">
      <c r="A5" s="1" t="s">
        <v>357</v>
      </c>
      <c r="B5" s="1" t="s">
        <v>362</v>
      </c>
      <c r="C5" s="1" t="s">
        <v>363</v>
      </c>
    </row>
    <row r="6" spans="1:3" ht="64" customHeight="1">
      <c r="A6" s="1" t="s">
        <v>40</v>
      </c>
      <c r="B6" s="1" t="s">
        <v>364</v>
      </c>
      <c r="C6" s="1" t="s">
        <v>365</v>
      </c>
    </row>
    <row r="7" spans="1:3" ht="64" customHeight="1">
      <c r="A7" s="1" t="s">
        <v>40</v>
      </c>
      <c r="B7" s="1" t="s">
        <v>366</v>
      </c>
      <c r="C7" s="1" t="s">
        <v>367</v>
      </c>
    </row>
    <row r="8" spans="1:3" ht="64" customHeight="1">
      <c r="A8" s="1" t="s">
        <v>40</v>
      </c>
      <c r="B8" s="1" t="s">
        <v>47</v>
      </c>
      <c r="C8" s="1" t="s">
        <v>368</v>
      </c>
    </row>
    <row r="9" spans="1:3" ht="64" customHeight="1">
      <c r="A9" s="1" t="s">
        <v>40</v>
      </c>
      <c r="B9" s="1" t="s">
        <v>369</v>
      </c>
      <c r="C9" s="1" t="s">
        <v>370</v>
      </c>
    </row>
    <row r="10" spans="1:3" ht="64" customHeight="1">
      <c r="A10" s="1" t="s">
        <v>40</v>
      </c>
      <c r="B10" s="1" t="s">
        <v>52</v>
      </c>
      <c r="C10" s="1" t="s">
        <v>371</v>
      </c>
    </row>
    <row r="11" spans="1:3" ht="64" customHeight="1">
      <c r="A11" s="1" t="s">
        <v>98</v>
      </c>
      <c r="B11" s="1" t="s">
        <v>372</v>
      </c>
      <c r="C11" s="1" t="s">
        <v>373</v>
      </c>
    </row>
    <row r="12" spans="1:3" ht="64" customHeight="1">
      <c r="A12" s="1" t="s">
        <v>98</v>
      </c>
      <c r="B12" s="1" t="s">
        <v>374</v>
      </c>
      <c r="C12" s="1" t="s">
        <v>375</v>
      </c>
    </row>
    <row r="13" spans="1:3" ht="64" customHeight="1">
      <c r="A13" s="1" t="s">
        <v>98</v>
      </c>
      <c r="B13" s="1" t="s">
        <v>376</v>
      </c>
      <c r="C13" s="1" t="s">
        <v>377</v>
      </c>
    </row>
    <row r="14" spans="1:3" ht="64" customHeight="1">
      <c r="A14" s="1" t="s">
        <v>98</v>
      </c>
      <c r="B14" s="1" t="s">
        <v>68</v>
      </c>
      <c r="C14" s="1" t="s">
        <v>378</v>
      </c>
    </row>
    <row r="15" spans="1:3" ht="64" customHeight="1">
      <c r="A15" s="1" t="s">
        <v>98</v>
      </c>
      <c r="B15" s="1" t="s">
        <v>379</v>
      </c>
      <c r="C15" s="1" t="s">
        <v>380</v>
      </c>
    </row>
    <row r="16" spans="1:3" ht="64" customHeight="1">
      <c r="A16" s="1" t="s">
        <v>381</v>
      </c>
      <c r="B16" s="1" t="s">
        <v>382</v>
      </c>
      <c r="C16" s="1" t="s">
        <v>383</v>
      </c>
    </row>
    <row r="17" spans="1:3" ht="64" customHeight="1">
      <c r="A17" s="1" t="s">
        <v>381</v>
      </c>
      <c r="B17" s="1" t="s">
        <v>131</v>
      </c>
      <c r="C17" s="1" t="s">
        <v>384</v>
      </c>
    </row>
    <row r="18" spans="1:3" ht="64" customHeight="1">
      <c r="A18" s="1" t="s">
        <v>381</v>
      </c>
      <c r="B18" s="1" t="s">
        <v>385</v>
      </c>
      <c r="C18" s="1" t="s">
        <v>386</v>
      </c>
    </row>
    <row r="19" spans="1:3" ht="64" customHeight="1">
      <c r="A19" s="1" t="s">
        <v>381</v>
      </c>
      <c r="B19" s="1" t="s">
        <v>387</v>
      </c>
      <c r="C19" s="1" t="s">
        <v>388</v>
      </c>
    </row>
    <row r="20" spans="1:3" ht="64" customHeight="1">
      <c r="A20" s="1" t="s">
        <v>381</v>
      </c>
      <c r="B20" s="1" t="s">
        <v>389</v>
      </c>
      <c r="C20" s="1" t="s">
        <v>390</v>
      </c>
    </row>
    <row r="21" spans="1:3" ht="64" customHeight="1">
      <c r="A21" s="1" t="s">
        <v>381</v>
      </c>
      <c r="B21" s="1" t="s">
        <v>391</v>
      </c>
      <c r="C21" s="1" t="s">
        <v>392</v>
      </c>
    </row>
    <row r="22" spans="1:3" ht="64" customHeight="1">
      <c r="A22" s="1" t="s">
        <v>118</v>
      </c>
      <c r="B22" s="1" t="s">
        <v>393</v>
      </c>
      <c r="C22" s="1" t="s">
        <v>394</v>
      </c>
    </row>
    <row r="23" spans="1:3" ht="64" customHeight="1">
      <c r="A23" s="1" t="s">
        <v>118</v>
      </c>
      <c r="B23" s="1" t="s">
        <v>138</v>
      </c>
      <c r="C23" s="1" t="s">
        <v>395</v>
      </c>
    </row>
    <row r="24" spans="1:3" ht="64" customHeight="1">
      <c r="A24" s="1" t="s">
        <v>118</v>
      </c>
      <c r="B24" s="1" t="s">
        <v>396</v>
      </c>
      <c r="C24" s="1" t="s">
        <v>397</v>
      </c>
    </row>
    <row r="25" spans="1:3" ht="64" customHeight="1">
      <c r="A25" s="1" t="s">
        <v>118</v>
      </c>
      <c r="B25" s="1" t="s">
        <v>398</v>
      </c>
      <c r="C25" s="1" t="s">
        <v>399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5"/>
  <sheetViews>
    <sheetView workbookViewId="0">
      <selection activeCell="E4" sqref="E4"/>
    </sheetView>
  </sheetViews>
  <sheetFormatPr baseColWidth="10" defaultColWidth="8.83203125" defaultRowHeight="15"/>
  <cols>
    <col min="1" max="1" width="24" customWidth="1"/>
    <col min="2" max="2" width="38" customWidth="1"/>
    <col min="3" max="3" width="18" customWidth="1"/>
    <col min="4" max="4" width="72" customWidth="1"/>
    <col min="5" max="5" width="16" customWidth="1"/>
    <col min="6" max="6" width="64" customWidth="1"/>
  </cols>
  <sheetData>
    <row r="1" spans="1:6" ht="45.25" customHeight="1">
      <c r="A1" s="2" t="s">
        <v>400</v>
      </c>
      <c r="B1" s="2" t="s">
        <v>401</v>
      </c>
      <c r="C1" s="2" t="s">
        <v>402</v>
      </c>
      <c r="D1" s="2" t="s">
        <v>403</v>
      </c>
      <c r="E1" s="2" t="s">
        <v>404</v>
      </c>
      <c r="F1" s="2" t="s">
        <v>405</v>
      </c>
    </row>
    <row r="2" spans="1:6" ht="64" customHeight="1">
      <c r="A2" s="1" t="s">
        <v>406</v>
      </c>
      <c r="B2" s="1" t="s">
        <v>407</v>
      </c>
      <c r="C2" s="1" t="s">
        <v>20</v>
      </c>
      <c r="D2" s="1" t="s">
        <v>408</v>
      </c>
      <c r="E2" s="10" t="s">
        <v>409</v>
      </c>
      <c r="F2" s="1" t="s">
        <v>410</v>
      </c>
    </row>
    <row r="3" spans="1:6" ht="64" customHeight="1">
      <c r="A3" s="1" t="s">
        <v>406</v>
      </c>
      <c r="B3" s="1" t="s">
        <v>411</v>
      </c>
      <c r="C3" s="1" t="s">
        <v>25</v>
      </c>
      <c r="D3" s="1" t="s">
        <v>412</v>
      </c>
      <c r="E3" s="11" t="s">
        <v>413</v>
      </c>
      <c r="F3" s="1" t="s">
        <v>414</v>
      </c>
    </row>
    <row r="4" spans="1:6" ht="64" customHeight="1">
      <c r="A4" s="1" t="s">
        <v>406</v>
      </c>
      <c r="B4" s="1" t="s">
        <v>415</v>
      </c>
      <c r="C4" s="1" t="s">
        <v>29</v>
      </c>
      <c r="D4" s="1" t="s">
        <v>416</v>
      </c>
      <c r="E4" s="12" t="s">
        <v>417</v>
      </c>
      <c r="F4" s="1" t="s">
        <v>418</v>
      </c>
    </row>
    <row r="5" spans="1:6" ht="64" customHeight="1">
      <c r="A5" s="1" t="s">
        <v>406</v>
      </c>
      <c r="B5" s="1" t="s">
        <v>419</v>
      </c>
      <c r="C5" s="1" t="s">
        <v>420</v>
      </c>
      <c r="D5" s="1" t="s">
        <v>421</v>
      </c>
      <c r="E5" s="13" t="s">
        <v>422</v>
      </c>
      <c r="F5" s="1" t="s">
        <v>423</v>
      </c>
    </row>
    <row r="6" spans="1:6" ht="64" customHeight="1">
      <c r="A6" s="1" t="s">
        <v>406</v>
      </c>
      <c r="B6" s="1" t="s">
        <v>424</v>
      </c>
      <c r="C6" s="1" t="s">
        <v>425</v>
      </c>
      <c r="D6" s="1" t="s">
        <v>426</v>
      </c>
      <c r="E6" s="14" t="s">
        <v>427</v>
      </c>
      <c r="F6" s="1" t="s">
        <v>428</v>
      </c>
    </row>
    <row r="7" spans="1:6" ht="64" customHeight="1">
      <c r="A7" s="1" t="s">
        <v>429</v>
      </c>
      <c r="B7" s="1" t="s">
        <v>430</v>
      </c>
      <c r="C7" s="1" t="s">
        <v>431</v>
      </c>
      <c r="D7" s="1" t="s">
        <v>432</v>
      </c>
      <c r="E7" s="1"/>
      <c r="F7" s="1" t="s">
        <v>433</v>
      </c>
    </row>
    <row r="8" spans="1:6" ht="64" customHeight="1">
      <c r="A8" s="1" t="s">
        <v>434</v>
      </c>
      <c r="B8" s="1" t="s">
        <v>41</v>
      </c>
      <c r="C8" s="1" t="s">
        <v>29</v>
      </c>
      <c r="D8" s="1" t="s">
        <v>435</v>
      </c>
      <c r="E8" s="12" t="s">
        <v>417</v>
      </c>
      <c r="F8" s="1" t="s">
        <v>436</v>
      </c>
    </row>
    <row r="9" spans="1:6" ht="64" customHeight="1">
      <c r="A9" s="1" t="s">
        <v>437</v>
      </c>
      <c r="B9" s="1" t="s">
        <v>54</v>
      </c>
      <c r="C9" s="1" t="s">
        <v>438</v>
      </c>
      <c r="D9" s="1" t="s">
        <v>439</v>
      </c>
      <c r="E9" s="12" t="s">
        <v>417</v>
      </c>
      <c r="F9" s="1" t="s">
        <v>440</v>
      </c>
    </row>
    <row r="10" spans="1:6" ht="64" customHeight="1">
      <c r="A10" s="1" t="s">
        <v>437</v>
      </c>
      <c r="B10" s="1" t="s">
        <v>55</v>
      </c>
      <c r="C10" s="1" t="s">
        <v>438</v>
      </c>
      <c r="D10" s="1" t="s">
        <v>441</v>
      </c>
      <c r="E10" s="12" t="s">
        <v>417</v>
      </c>
      <c r="F10" s="1" t="s">
        <v>442</v>
      </c>
    </row>
    <row r="11" spans="1:6" ht="64" customHeight="1">
      <c r="A11" s="1" t="s">
        <v>437</v>
      </c>
      <c r="B11" s="1" t="s">
        <v>96</v>
      </c>
      <c r="C11" s="1" t="s">
        <v>29</v>
      </c>
      <c r="D11" s="1" t="s">
        <v>443</v>
      </c>
      <c r="E11" s="12" t="s">
        <v>417</v>
      </c>
      <c r="F11" s="1" t="s">
        <v>444</v>
      </c>
    </row>
    <row r="12" spans="1:6" ht="64" customHeight="1">
      <c r="A12" s="1" t="s">
        <v>437</v>
      </c>
      <c r="B12" s="1" t="s">
        <v>95</v>
      </c>
      <c r="C12" s="1" t="s">
        <v>29</v>
      </c>
      <c r="D12" s="1" t="s">
        <v>445</v>
      </c>
      <c r="E12" s="12" t="s">
        <v>417</v>
      </c>
      <c r="F12" s="1" t="s">
        <v>446</v>
      </c>
    </row>
    <row r="13" spans="1:6" ht="64" customHeight="1">
      <c r="A13" s="1" t="s">
        <v>437</v>
      </c>
      <c r="B13" s="1" t="s">
        <v>99</v>
      </c>
      <c r="C13" s="1" t="s">
        <v>25</v>
      </c>
      <c r="D13" s="1" t="s">
        <v>447</v>
      </c>
      <c r="E13" s="11" t="s">
        <v>413</v>
      </c>
      <c r="F13" s="1" t="s">
        <v>448</v>
      </c>
    </row>
    <row r="14" spans="1:6" ht="64" customHeight="1">
      <c r="A14" s="1" t="s">
        <v>437</v>
      </c>
      <c r="B14" s="1" t="s">
        <v>449</v>
      </c>
      <c r="C14" s="1" t="s">
        <v>20</v>
      </c>
      <c r="D14" s="1" t="s">
        <v>450</v>
      </c>
      <c r="E14" s="10" t="s">
        <v>409</v>
      </c>
      <c r="F14" s="1" t="s">
        <v>451</v>
      </c>
    </row>
    <row r="15" spans="1:6" ht="64" customHeight="1">
      <c r="A15" s="1" t="s">
        <v>437</v>
      </c>
      <c r="B15" s="1" t="s">
        <v>452</v>
      </c>
      <c r="C15" s="1" t="s">
        <v>420</v>
      </c>
      <c r="D15" s="1" t="s">
        <v>453</v>
      </c>
      <c r="E15" s="13" t="s">
        <v>422</v>
      </c>
      <c r="F15" s="1" t="s">
        <v>454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Runs</vt:lpstr>
      <vt:lpstr>Campaign_Control</vt:lpstr>
      <vt:lpstr>Organic_Control</vt:lpstr>
      <vt:lpstr>Organic_Results</vt:lpstr>
      <vt:lpstr>Page_Audit_Log</vt:lpstr>
      <vt:lpstr>Platform_Library</vt:lpstr>
      <vt:lpstr>Niche_Library</vt:lpstr>
      <vt:lpstr>Creative_Style_Library</vt:lpstr>
      <vt:lpstr>Campaign_Direction_Library</vt:lpstr>
      <vt:lpstr>Angle_Family_Library</vt:lpstr>
      <vt:lpstr>Allowed_Values</vt:lpstr>
      <vt:lpstr>AI_Field_Guide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Sakaeru Sakaeru</cp:lastModifiedBy>
  <dcterms:modified xsi:type="dcterms:W3CDTF">2026-05-05T08:12:20Z</dcterms:modified>
</cp:coreProperties>
</file>